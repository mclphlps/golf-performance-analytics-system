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https://d.docs.live.net/c10e49f1853cb2ff/Documents/NewForce/golf-capstone/"/>
    </mc:Choice>
  </mc:AlternateContent>
  <xr:revisionPtr revIDLastSave="868" documentId="8_{3B8F0AB2-7ED1-4FE6-A65F-85269FF7F47F}" xr6:coauthVersionLast="47" xr6:coauthVersionMax="47" xr10:uidLastSave="{9D846144-9518-445D-A451-4E48106F85EA}"/>
  <bookViews>
    <workbookView xWindow="-120" yWindow="-120" windowWidth="29040" windowHeight="15720" xr2:uid="{00000000-000D-0000-FFFF-FFFF00000000}"/>
  </bookViews>
  <sheets>
    <sheet name="WBS" sheetId="1" r:id="rId1"/>
    <sheet name="Status" sheetId="4" r:id="rId2"/>
    <sheet name="Org" sheetId="5" r:id="rId3"/>
    <sheet name="Denormalization Decision" sheetId="6" r:id="rId4"/>
    <sheet name="Clubs" sheetId="2" state="hidden" r:id="rId5"/>
    <sheet name="OLD WBS" sheetId="3"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a="1"/>
  <c r="B66" i="1" s="1"/>
  <c r="B5" i="1" a="1"/>
  <c r="B5" i="1" s="1"/>
  <c r="B12" i="1" a="1"/>
  <c r="B12" i="1" s="1"/>
  <c r="B53" i="1" a="1"/>
  <c r="B53" i="1" s="1"/>
  <c r="B55" i="1" s="1" a="1"/>
  <c r="B55" i="1" s="1"/>
  <c r="B58" i="1" a="1"/>
  <c r="B58" i="1" s="1"/>
  <c r="B62" i="1" a="1"/>
  <c r="B62" i="1" s="1"/>
  <c r="B2" i="1" a="1"/>
  <c r="B2" i="1" s="1"/>
  <c r="B4" i="1" s="1" a="1"/>
  <c r="B4" i="1" s="1"/>
  <c r="B65" i="1" l="1" a="1"/>
  <c r="B65" i="1" s="1"/>
  <c r="B64" i="1" a="1"/>
  <c r="B64" i="1" s="1"/>
  <c r="B63" i="1" a="1"/>
  <c r="B63" i="1" s="1"/>
  <c r="B61" i="1" a="1"/>
  <c r="B61" i="1" s="1"/>
  <c r="B59" i="1" a="1"/>
  <c r="B59" i="1" s="1"/>
  <c r="B60" i="1" a="1"/>
  <c r="B60" i="1" s="1"/>
  <c r="B56" i="1" a="1"/>
  <c r="B56" i="1" s="1"/>
  <c r="B57" i="1" a="1"/>
  <c r="B57" i="1" s="1"/>
  <c r="B54" i="1" a="1"/>
  <c r="B54" i="1" s="1"/>
  <c r="B32" i="1" a="1"/>
  <c r="B32" i="1" s="1"/>
  <c r="B37" i="1" s="1" a="1"/>
  <c r="B37" i="1" s="1"/>
  <c r="B13" i="1" a="1"/>
  <c r="B13" i="1" s="1"/>
  <c r="B50" i="1" a="1"/>
  <c r="B50" i="1" s="1"/>
  <c r="B39" i="1" a="1"/>
  <c r="B39" i="1" s="1"/>
  <c r="B27" i="1" a="1"/>
  <c r="B27" i="1" s="1"/>
  <c r="B8" i="1" a="1"/>
  <c r="B8" i="1" s="1"/>
  <c r="B9" i="1" a="1"/>
  <c r="B9" i="1" s="1"/>
  <c r="B6" i="1" a="1"/>
  <c r="B6" i="1" s="1"/>
  <c r="B10" i="1" a="1"/>
  <c r="B10" i="1" s="1"/>
  <c r="B7" i="1" a="1"/>
  <c r="B7" i="1" s="1"/>
  <c r="B11" i="1" a="1"/>
  <c r="B11" i="1" s="1"/>
  <c r="B3" i="1" a="1"/>
  <c r="B3" i="1" s="1"/>
  <c r="B51" i="1" l="1" a="1"/>
  <c r="B51" i="1" s="1"/>
  <c r="B52" i="1" a="1"/>
  <c r="B52" i="1" s="1"/>
  <c r="B16" i="1" a="1"/>
  <c r="B16" i="1" s="1"/>
  <c r="B20" i="1" a="1"/>
  <c r="B20" i="1" s="1"/>
  <c r="B25" i="1" a="1"/>
  <c r="B25" i="1" s="1"/>
  <c r="B17" i="1" a="1"/>
  <c r="B17" i="1" s="1"/>
  <c r="B21" i="1" a="1"/>
  <c r="B21" i="1" s="1"/>
  <c r="B14" i="1" a="1"/>
  <c r="B14" i="1" s="1"/>
  <c r="B18" i="1" a="1"/>
  <c r="B18" i="1" s="1"/>
  <c r="B26" i="1" a="1"/>
  <c r="B26" i="1" s="1"/>
  <c r="B15" i="1" a="1"/>
  <c r="B15" i="1" s="1"/>
  <c r="B19" i="1" a="1"/>
  <c r="B19" i="1" s="1"/>
  <c r="B29" i="1" a="1"/>
  <c r="B29" i="1" s="1"/>
  <c r="B30" i="1" a="1"/>
  <c r="B30" i="1" s="1"/>
  <c r="B31" i="1" a="1"/>
  <c r="B31" i="1" s="1"/>
  <c r="B28" i="1" a="1"/>
  <c r="B28" i="1" s="1"/>
  <c r="B33" i="1" a="1"/>
  <c r="B33" i="1" s="1"/>
  <c r="B38" i="1" a="1"/>
  <c r="B38" i="1" s="1"/>
  <c r="B34" i="1" a="1"/>
  <c r="B34" i="1" s="1"/>
  <c r="B36" i="1" a="1"/>
  <c r="B36" i="1" s="1"/>
  <c r="B35" i="1" a="1"/>
  <c r="B35" i="1" s="1"/>
  <c r="B45" i="1" a="1"/>
  <c r="B45" i="1" s="1"/>
  <c r="B42" i="1" a="1"/>
  <c r="B42" i="1" s="1"/>
  <c r="B46" i="1" a="1"/>
  <c r="B46" i="1" s="1"/>
  <c r="B43" i="1" a="1"/>
  <c r="B43" i="1" s="1"/>
  <c r="B49" i="1" a="1"/>
  <c r="B49" i="1" s="1"/>
  <c r="B47" i="1" a="1"/>
  <c r="B47" i="1" s="1"/>
  <c r="B40" i="1" a="1"/>
  <c r="B40" i="1" s="1"/>
  <c r="B44" i="1" a="1"/>
  <c r="B44" i="1" s="1"/>
  <c r="B48" i="1" a="1"/>
  <c r="B48" i="1" s="1"/>
  <c r="B41" i="1" a="1"/>
  <c r="B41" i="1" s="1"/>
  <c r="B22" i="1" l="1" a="1"/>
  <c r="B22" i="1" s="1"/>
  <c r="B24" i="1" a="1"/>
  <c r="B24" i="1" s="1"/>
  <c r="B23" i="1" a="1"/>
  <c r="B2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<sst xmlns="http://schemas.openxmlformats.org/spreadsheetml/2006/main" count="802" uniqueCount="357">
  <si>
    <t>WBS Level</t>
  </si>
  <si>
    <t>Task Name</t>
  </si>
  <si>
    <t>DMAIC Phase</t>
  </si>
  <si>
    <t>CRISP-DM Phase</t>
  </si>
  <si>
    <t>Description</t>
  </si>
  <si>
    <t>Setup &amp; Configuration</t>
  </si>
  <si>
    <t>Data Understanding</t>
  </si>
  <si>
    <t>Data Preparation</t>
  </si>
  <si>
    <t>Evaluation</t>
  </si>
  <si>
    <t>Deployment</t>
  </si>
  <si>
    <t>Standardize Schema &amp; Datatypes</t>
  </si>
  <si>
    <t>Initial Data Profiling</t>
  </si>
  <si>
    <t>Filter Invalid Hole Records</t>
  </si>
  <si>
    <t>Calculate Holes Scored per Round</t>
  </si>
  <si>
    <t>Attach Round Hole Counts &amp; Identify Partial Rounds</t>
  </si>
  <si>
    <t>Keep Only Complete Rounds (9 or 18 Holes)</t>
  </si>
  <si>
    <t>Assign Sequential Round Numbers per Player</t>
  </si>
  <si>
    <t>Assign Sequential Visit Number per Player × Course</t>
  </si>
  <si>
    <t>Create Round Identifiers &amp; Sequencing</t>
  </si>
  <si>
    <t>Derive Time Features</t>
  </si>
  <si>
    <t>Validate Round Time Quality</t>
  </si>
  <si>
    <t>Derive Seasonal &amp; Annual Context</t>
  </si>
  <si>
    <t>Build / Refresh Facilities Table</t>
  </si>
  <si>
    <t>Derive Facility Coordinates from Observed Shots</t>
  </si>
  <si>
    <t>Geocode Facilities Missing Coordinates</t>
  </si>
  <si>
    <t>Build Facility Timezones from Coordinates</t>
  </si>
  <si>
    <t>Enrich Facilities from GolfCourseAPI (with cache)</t>
  </si>
  <si>
    <t>Parse and Normalize Cached Facility API Data</t>
  </si>
  <si>
    <t>Validate Facility Locations vs Geocoded Data</t>
  </si>
  <si>
    <t>Check GolfCourseAPI Course Data Against USGA</t>
  </si>
  <si>
    <t>Build Player–Club Planning Profile</t>
  </si>
  <si>
    <t>Player–Club–Hole Dispersion</t>
  </si>
  <si>
    <t>Player–Club Dispersion Rollup</t>
  </si>
  <si>
    <t>Attach Dispersion to Distance Profile</t>
  </si>
  <si>
    <t>Case Study: Lewisburg Elks Hole 2</t>
  </si>
  <si>
    <t>Summarize Key Findings &amp; Hypotheses</t>
  </si>
  <si>
    <t>Quantify Improvement Opportunities</t>
  </si>
  <si>
    <t>Document Lessons Learned</t>
  </si>
  <si>
    <t>Generate Final Data Dictionary</t>
  </si>
  <si>
    <t>Export Artifacts</t>
  </si>
  <si>
    <t>Summarize Control Plan</t>
  </si>
  <si>
    <t>Define</t>
  </si>
  <si>
    <t>Measure</t>
  </si>
  <si>
    <t>Analyze</t>
  </si>
  <si>
    <t>Improve</t>
  </si>
  <si>
    <t>Control</t>
  </si>
  <si>
    <t>Business Understanding</t>
  </si>
  <si>
    <t>Modeling</t>
  </si>
  <si>
    <t>Generate analytical insights and visualizations.</t>
  </si>
  <si>
    <t>Interpret analytical results and identify improvement levers.</t>
  </si>
  <si>
    <t>Package outputs, document governance, and sustain the process.</t>
  </si>
  <si>
    <t>Parse JSON payloads and normalize for merging.</t>
  </si>
  <si>
    <t>Compare coordinates and flag mismatches.</t>
  </si>
  <si>
    <t>Manual verification and note capture.</t>
  </si>
  <si>
    <t>Interpret analysis outcomes vs hypotheses.</t>
  </si>
  <si>
    <t>Compile metadata and field definitions for final datasets.</t>
  </si>
  <si>
    <t>Export datasets, logs, dictionaries, and documentation.</t>
  </si>
  <si>
    <t>Outline how to re-run, validate, and sustain improvements.</t>
  </si>
  <si>
    <t>WBS ID</t>
  </si>
  <si>
    <t>🏌️‍♂️ Golf Clubs in Dataset </t>
  </si>
  <si>
    <t>Shot Club</t>
  </si>
  <si>
    <t>Club Name</t>
  </si>
  <si>
    <t>First Used</t>
  </si>
  <si>
    <t>Last Used</t>
  </si>
  <si>
    <t>Min</t>
  </si>
  <si>
    <t>Max</t>
  </si>
  <si>
    <t>Mean</t>
  </si>
  <si>
    <t>1W</t>
  </si>
  <si>
    <t>Titleist TS2 Driver</t>
  </si>
  <si>
    <t>3W</t>
  </si>
  <si>
    <t>Titleist TS2 3 Wood</t>
  </si>
  <si>
    <t>3Hy</t>
  </si>
  <si>
    <t>Titleist TS3 Hybrid 19 Degree</t>
  </si>
  <si>
    <t>4i</t>
  </si>
  <si>
    <t>Titleist T100 4i</t>
  </si>
  <si>
    <t>5i</t>
  </si>
  <si>
    <t>Titleist T100 5i</t>
  </si>
  <si>
    <t>6i</t>
  </si>
  <si>
    <t>Titleist T100 6i</t>
  </si>
  <si>
    <t>7i</t>
  </si>
  <si>
    <t>Titleist T100 7i</t>
  </si>
  <si>
    <t>8i</t>
  </si>
  <si>
    <t>Titleist T100 8i</t>
  </si>
  <si>
    <t>9i</t>
  </si>
  <si>
    <t>Titleist T100 9i</t>
  </si>
  <si>
    <t>Pw</t>
  </si>
  <si>
    <t>Titleist T100 Pw</t>
  </si>
  <si>
    <t>Gw</t>
  </si>
  <si>
    <t>Titleist Vokey SM8 50 Degree</t>
  </si>
  <si>
    <t>Sw</t>
  </si>
  <si>
    <t>Titleist Vokey SM8 54 Degree</t>
  </si>
  <si>
    <t>Lw</t>
  </si>
  <si>
    <t>Titleist Vokey SM8 58 Wedge</t>
  </si>
  <si>
    <t>Titleist 983K Driver</t>
  </si>
  <si>
    <t>Titleist 975F 3 Wood</t>
  </si>
  <si>
    <t>Titleist 585.H Hybrid 21 Degree</t>
  </si>
  <si>
    <t>3i</t>
  </si>
  <si>
    <t>Titleist 735.CM Chrome 3i </t>
  </si>
  <si>
    <t>Titleist 735.CM Chrome 4i</t>
  </si>
  <si>
    <t>Titleist 735.CM Chrome 5i</t>
  </si>
  <si>
    <t>Titleist 735.CM Chrome 6i</t>
  </si>
  <si>
    <t>Titleist 735.CM Chrome 7i</t>
  </si>
  <si>
    <t>Titleist 735.CM Chrome 8i</t>
  </si>
  <si>
    <t>Titleist 735.CM Chrome 9i</t>
  </si>
  <si>
    <t>Titleist 735.CM Chrome Pw</t>
  </si>
  <si>
    <t>Titleist Vokey Design Spin Milled C-C 52 Degree</t>
  </si>
  <si>
    <t>Titleist Vokey Design Spin Milled C-C 56 Degree</t>
  </si>
  <si>
    <t>Titleist Vokey Spin Milled Oil Can 60 Degree</t>
  </si>
  <si>
    <t>WBS</t>
  </si>
  <si>
    <t>Title</t>
  </si>
  <si>
    <t>Status</t>
  </si>
  <si>
    <t>Python Notebook: Header</t>
  </si>
  <si>
    <t>Header</t>
  </si>
  <si>
    <t>Under review</t>
  </si>
  <si>
    <t>This notebook implements the analytical workflow for the Golf Performance Analytics Capstone, applying the Six Sigma DMAIC framework to over 15 years of GolfShot (golfshot.com) performance data.</t>
  </si>
  <si>
    <t>It integrates personal shot-level data with the Golf Course API to generate reproducible, geospatial insights into consistency, distance, and accuracy.</t>
  </si>
  <si>
    <t>Python Notebook: 1. Setup &amp; Configuration</t>
  </si>
  <si>
    <t>Completed</t>
  </si>
  <si>
    <t>Initialize the controlled analysis environment for the Golf Performance Analytics project.</t>
  </si>
  <si>
    <t>Python Notebook: 2. Data Import &amp; Cleaning</t>
  </si>
  <si>
    <t>Load Raw GolfShot Data</t>
  </si>
  <si>
    <t>Load the full GolfShot export (15+ years of personal shot- and hole-level performance data) into memory for initial validation and profiling.</t>
  </si>
  <si>
    <t>Standardize &amp; Clean Schema</t>
  </si>
  <si>
    <r>
      <t>Convert the raw vendor export (</t>
    </r>
    <r>
      <rPr>
        <sz val="10.5"/>
        <color rgb="FF188038"/>
        <rFont val="Courier New"/>
        <family val="3"/>
      </rPr>
      <t>golf_raw</t>
    </r>
    <r>
      <rPr>
        <sz val="10.5"/>
        <color rgb="FF000000"/>
        <rFont val="Arial"/>
        <family val="2"/>
      </rPr>
      <t xml:space="preserve">) into a consistent, analysis-ready working DataFrame called </t>
    </r>
    <r>
      <rPr>
        <sz val="10.5"/>
        <color rgb="FF188038"/>
        <rFont val="Courier New"/>
        <family val="3"/>
      </rPr>
      <t>golf</t>
    </r>
    <r>
      <rPr>
        <sz val="10.5"/>
        <color rgb="FF000000"/>
        <rFont val="Arial"/>
        <family val="2"/>
      </rPr>
      <t>.</t>
    </r>
  </si>
  <si>
    <t>Snapshot Clean Data (Private Export)</t>
  </si>
  <si>
    <r>
      <t>Export the cleaned working DataFrame (</t>
    </r>
    <r>
      <rPr>
        <sz val="10.5"/>
        <color rgb="FF188038"/>
        <rFont val="Courier New"/>
        <family val="3"/>
      </rPr>
      <t>golf</t>
    </r>
    <r>
      <rPr>
        <sz val="10.5"/>
        <color rgb="FF000000"/>
        <rFont val="Arial"/>
        <family val="2"/>
      </rPr>
      <t>) to a governed local snapshot for audit and traceability.</t>
    </r>
  </si>
  <si>
    <t>Remove rows that do not represent real scoring events and quantify data retention.</t>
  </si>
  <si>
    <t>Calculate Holes Scored Per Round</t>
  </si>
  <si>
    <t>Determine how many unique holes were actually scored in each recorded round.</t>
  </si>
  <si>
    <t>Attach Round Hole Counts and Identify Partial Rounds</t>
  </si>
  <si>
    <t>Merge each round’s hole count back onto every scored row, and surface partial rounds for review.</t>
  </si>
  <si>
    <t>Filter the dataset to retain only full, valid rounds—those with exactly 9 or 18 distinct holes played.</t>
  </si>
  <si>
    <t>Assign a chronological round number to each player to establish a consistent sequencing of rounds played over time.</t>
  </si>
  <si>
    <r>
      <t xml:space="preserve">For each </t>
    </r>
    <r>
      <rPr>
        <sz val="10.5"/>
        <color rgb="FF188038"/>
        <rFont val="Courier New"/>
        <family val="3"/>
      </rPr>
      <t>(player_name, facility, course)</t>
    </r>
    <r>
      <rPr>
        <sz val="10.5"/>
        <color rgb="FF000000"/>
        <rFont val="Arial"/>
        <family val="2"/>
      </rPr>
      <t xml:space="preserve"> combination, assign a chronological visit number that indicates how many times that specific player has played that specific course.</t>
    </r>
  </si>
  <si>
    <t>Export Analysis-Ready Data</t>
  </si>
  <si>
    <t>Export governed analysis datasets for downstream use (BI tools, storytelling, dashboards).</t>
  </si>
  <si>
    <t>Python Notebook: 3. Feature Engineering &amp; Enrichment</t>
  </si>
  <si>
    <t>Add human-readable time context to each round.</t>
  </si>
  <si>
    <t>Evaluate the reliability of recorded tee times and prevent suspicious timestamps from biasing time-of-day analysis.</t>
  </si>
  <si>
    <t>Build Course Data Table Using GolfCourseAPI</t>
  </si>
  <si>
    <t>Not started</t>
  </si>
  <si>
    <t>Build a per-facility table with all metrics from Golfcourseapi based on the facility and course info in my dataset, store and export</t>
  </si>
  <si>
    <t>Check Course Data Against Official USGA</t>
  </si>
  <si>
    <t>This is a manual step, as we do not want to violate … USGA … terms and conditions …</t>
  </si>
  <si>
    <t>Initialize Geocoding Environment to Test Whether GolfCourse API geocoded data is accurate</t>
  </si>
  <si>
    <t>Initialize geocoding environment for facility coordinate resolution? I don’t want to use the HINTS library anymore. I want this to be repeatable for other users, so I think we start with golfcourseapi first, then we pause to check the information manually at USGA, then we set up the environment to test the geocoded info based upon shot-level data.</t>
  </si>
  <si>
    <t>Derive per-facility coordinates from recorded shot GPS data (no geocoding yet)</t>
  </si>
  <si>
    <t>Compare shot positions to facility centroids (e.g., distance &gt; 10 km) from golfcourseapi</t>
  </si>
  <si>
    <t>Delete</t>
  </si>
  <si>
    <t>OLD WAY: Load cached facility coordinates (if available) and identify which facilities still need geocoding</t>
  </si>
  <si>
    <t>OLD WAY: Geocode facilities that are still missing coordinates, using Nominatim first and ArcGIS as fallback</t>
  </si>
  <si>
    <t>OLD WAY: Combine all coordinate sources, prefer shot-derived results, and update the facility cache</t>
  </si>
  <si>
    <t>Should we attach facility latitude/longitude to each round/shot record to create a geo-enriched dataset. Did this before. Not sure the best method yet.</t>
  </si>
  <si>
    <t>Python Notebook: Handle Shot Distance Outliers</t>
  </si>
  <si>
    <t>Check vendor ‘yardage’ column</t>
  </si>
  <si>
    <t>Verify shot distances in `yardage` column using latitude/longitude</t>
  </si>
  <si>
    <t>Flag shot outliers</t>
  </si>
  <si>
    <t>Develop methodology to clean shot data by club based on the table based on template created. Include `player_name` in table so others can reproduce for themselves. Consider adding this as an XLSX helper file in data/processed that users can update based upon their own information. Or create workflow in Python that a user can enter all their information, using my data as examples. “Select the clubs in your bag”, “Enter your club names”, “Enter the minimum and maximum yardage range for each club to remove outliers”, etc.</t>
  </si>
  <si>
    <t>Python Notebook: KPIs</t>
  </si>
  <si>
    <t>Create handicap metrics by course based on golfcourseapi data</t>
  </si>
  <si>
    <t>Stokes Gained (would need pro averages)</t>
  </si>
  <si>
    <t>Fairways (hit, left, right, short, long…)</t>
  </si>
  <si>
    <t>Calculate FIR% (fairways in regulation) </t>
  </si>
  <si>
    <t>Calculate GIR% (greens in regulation) and check this against ‘round_gir` column to verify correctness</t>
  </si>
  <si>
    <t>Recovery (scramble, sand shot)</t>
  </si>
  <si>
    <t>Putting by hole and GIR</t>
  </si>
  <si>
    <t>Scoring averages by par type (3, 4, 5)</t>
  </si>
  <si>
    <t>Scoring averages by type (eagle, birdie, par, bogey…)</t>
  </si>
  <si>
    <t>Python Notebook: Visualization Setup</t>
  </si>
  <si>
    <t>KPI Dashboard</t>
  </si>
  <si>
    <t>Shot dispersion by club</t>
  </si>
  <si>
    <t>Visualize facilities and rounds on a map (Folium/Kepler) using the coordinates from golfcourseapi  vs. resolved coordinates to gauge differences and make decisions on best one to use. Might need to loop back to those steps after this. Should we move this step up to our geocoding section?</t>
  </si>
  <si>
    <t>Identify other trends worth visualizing (e.g., distance gains, scoring consistency, improvement [or lack of] over time).</t>
  </si>
  <si>
    <t>Is there a way to create a flyover or a shot tracer of a sliced shot arc? I frequently slice my drive on hole 2 at Lewisburg Elks golf course and want to present a visualization of it.</t>
  </si>
  <si>
    <t>Course mapping. Open to all ideas</t>
  </si>
  <si>
    <t>Prototype a simple visualization: a score trend chart or a heatmap of missed shots.</t>
  </si>
  <si>
    <t>Anything else?</t>
  </si>
  <si>
    <t>Python Notebook: Quality Checks</t>
  </si>
  <si>
    <t>Anything missing?</t>
  </si>
  <si>
    <t>Python Notebook: Document all Transforms in a Change Log</t>
  </si>
  <si>
    <t>Do we use this from notebook? Or is this another product we need to build into each step?</t>
  </si>
  <si>
    <r>
      <t>log_step()</t>
    </r>
    <r>
      <rPr>
        <b/>
        <sz val="10.5"/>
        <color rgb="FF000000"/>
        <rFont val="Arial"/>
        <family val="2"/>
      </rPr>
      <t xml:space="preserve"> → standardized pipeline logging</t>
    </r>
  </si>
  <si>
    <t>Create and Save a final Data Dictionary</t>
  </si>
  <si>
    <r>
      <t>validate_columns()</t>
    </r>
    <r>
      <rPr>
        <b/>
        <sz val="10.5"/>
        <color rgb="FF000000"/>
        <rFont val="Arial"/>
        <family val="2"/>
      </rPr>
      <t xml:space="preserve"> → schema validation and enforcement</t>
    </r>
  </si>
  <si>
    <t>Export Analysis-ready Tables</t>
  </si>
  <si>
    <t>We’ve exported a lot of tables already. Any others worth creating. Any analysis-ready dataframes we missed?</t>
  </si>
  <si>
    <t>Create Presentation</t>
  </si>
  <si>
    <t>Create Presentable  README for GitHub (maybe with KPI Dashboard pic)</t>
  </si>
  <si>
    <t>Description / Intent</t>
  </si>
  <si>
    <t>Defined scope, not yet started. Requirements clear, waiting for start.</t>
  </si>
  <si>
    <t>Currently being developed, tested, or validated.</t>
  </si>
  <si>
    <t>Work formally discontinued or replaced by another method.</t>
  </si>
  <si>
    <t>Temporarily paused (waiting on data, dependency, or resource).</t>
  </si>
  <si>
    <t>Code or logic finished; awaiting peer or governance review.</t>
  </si>
  <si>
    <t>Step undergoing validation, testing, or stakeholder sign-off.</t>
  </si>
  <si>
    <t>Governance logs, data dictionary, and documentation finalized.</t>
  </si>
  <si>
    <t>1. Planned / Scheduled</t>
  </si>
  <si>
    <t>2. In Progress</t>
  </si>
  <si>
    <t>3. Cancelled / Superseded</t>
  </si>
  <si>
    <t>4. On Hold</t>
  </si>
  <si>
    <t>5. Completed (Pending Review)</t>
  </si>
  <si>
    <t>6. Under Review / Quality Gate</t>
  </si>
  <si>
    <t>7. Documented &amp; Approved</t>
  </si>
  <si>
    <t>DMAIC</t>
  </si>
  <si>
    <t>CRISP-DM</t>
  </si>
  <si>
    <t>Derive Hole-Level Context Features</t>
  </si>
  <si>
    <t>Normalize and enrich hole-level columns in `golf_valid` so downstream steps (putting flags, GIR/FIR analysis, scoring by par) can rely on consistent `hole_*` fields.</t>
  </si>
  <si>
    <t>Apply to Facilities Table</t>
  </si>
  <si>
    <t>Apply confirmed data to facilities table.</t>
  </si>
  <si>
    <t>Establish the technical, governance, and reproducibility foundation for the Golf Performance Analytics pipeline before any data ingestion or analysis.  
This phase answers: “What environment, rules, and audit structures will ensure our project remains reproducible and professionally governed?”</t>
  </si>
  <si>
    <t>This is the **governed environment bootstrapping** step.  
By initializing logging, validation, and audit tools at the top of the pipeline, every subsequent cell (2.x → 6.x) automatically inherits the same governance rigor.  
This ensures reproducibility, traceability, and readiness for DMAIC’s **Control** phase — all from the first line of code.</t>
  </si>
  <si>
    <t>Governance Reporting Utilities (view layer)</t>
  </si>
  <si>
    <t>Without a view layer, governance is trapped in Python lists and CSV exports.
This utility turns those raw logs into something a project sponsor, instructor, or peer reviewer can actually read inside the notebook, at any point in the pipeline.
It also standardizes how we review individual phases (2.x, 3.x) without rewriting reporting code.</t>
  </si>
  <si>
    <t>Establish a governed, analyzable base table from the raw GolfShot vendor export before any cleaning, filtering, or enrichment in Section 3.
This phase answers: “What do we actually have, how complete is it, and what problems do we need to control for?”</t>
  </si>
  <si>
    <t>This step formalizes the data hand-off between GolfShot and the analytics pipeline.
By introducing row_id immediately, we ensure that every observation downstream — whether in filtered, enriched, or reshaped form — can be traced back to its original vendor row.
If GolfShot’s schema changes, this step will fail fast, preventing silent corruption of later transformations.</t>
  </si>
  <si>
    <t>This is the first step where we define the internal contract for the rest of the notebook.
Every subsequent enrichment (holes, facilities, clubs) will assume these names and dtypes.
By cleaning percent fields and timestamps here, we avoid inconsistent logic later on.</t>
  </si>
  <si>
    <t>This is the DMAIC “Measure” checkpoint: we need to know the actual data quality before dropping, enriching, or reshaping anything.
By freezing a profile here, we can later prove that rows were removed or repaired intentionally and not lost silently.</t>
  </si>
  <si>
    <t>Core Field Validation &amp; Logical Consistency</t>
  </si>
  <si>
    <t>We want to discover bad or suspicious records before the cleaning and enrichment phases.
By logging these findings instead of dropping rows now, we preserve auditability and give downstream steps the option to filter or repair.</t>
  </si>
  <si>
    <t>Club-distance and dispersion analytics in 3.x depend on trustworthy yardage.
By flagging bad yardages here (without dropping them), we give downstream steps a clean, governed way to filter or down-weight low-quality shots while preserving lineage.</t>
  </si>
  <si>
    <t>Initial Vendor Yardage Validation</t>
  </si>
  <si>
    <t>Governance Close-Out (Data Understanding)</t>
  </si>
  <si>
    <t>This is the control gate between Data Understanding (2.x) and Data Preparation (3.x).
By archiving here, we can always roll back or compare later steps to a known-good, validated version.</t>
  </si>
  <si>
    <t>Hole-Level Validity &amp; Features</t>
  </si>
  <si>
    <t>Round-level Validity &amp; Features</t>
  </si>
  <si>
    <t>Facility-level Validity &amp; Features</t>
  </si>
  <si>
    <t>All subsequent preparation and analysis steps rely on authentic scoring data.
Rows with zero or missing scores usually indicate incomplete rounds, test entries, or device-sync placeholders.
Filtering them here ensures that later KPI and round-completeness logic operate on clean, valid records.</t>
  </si>
  <si>
    <t>Round completeness is central to scoring analysis.  
If a round only has 6 or 14 holes logged, we don’t want to treat it the same as a full 9- or 18-hole round.  
By creating this helper early, later steps (3.1.3–3.1.4) can reliably join to it and keep only complete rounds.</t>
  </si>
  <si>
    <t>Partial or non-standard rounds can distort round-level KPIs and scoring trends.
By flagging them early, we preserve round completeness integrity before filtering in 3.1.4.
This ensures that only legitimate 9- or 18-hole rounds are included in scoring and trend analyses.</t>
  </si>
  <si>
    <t>Round-level analytics (scoring averages, progression, facility comparisons) are only meaningful when the round is complete.  
Including partial rounds would artificially lower scores and distort player trends.  
By locking this rule here, all downstream 3.1.x steps can safely assume “this is a real round.”</t>
  </si>
  <si>
    <t>Player performance improvement can only be measured relative to the order of play.
By assigning a sequential round number, we enable time-series or “career progression” analysis that is resilient to calendar irregularities or data gaps.
This forms the basis for “round progression,” moving averages, and skill-trend features in later phases.</t>
  </si>
  <si>
    <t>Players often improve faster on a course the more they play it.
By sequencing visits at the (player, facility, course) level, we can separate “overall skill growth” from “I know this course better now,” which leads to better coaching and more accurate performance analytics.</t>
  </si>
  <si>
    <t>Round-level Time Validity &amp; Features</t>
  </si>
  <si>
    <t>Hole-level data is great for shot and putting analysis, but most reporting is done at the round grain.
A surrogate round_id gives us a stable join key for round-level aggregates, exports, and dimensional tables — even if the original vendor keys change or we need to re-ingest.
The audit-friendly round_key makes it easy to trace a record back to “who played where and when.”</t>
  </si>
  <si>
    <t>Time features allow analysts to connect scoring performance with real-world temporal factors — for example, identifying whether early-morning rounds produce better results, or if weekend rounds are more error-prone due to pace-of-play or fatigue.
This step begins building the “temporal dimension” that enables longitudinal and behavioral insight.</t>
  </si>
  <si>
    <t>This step enables seasonality, progression, and year-over-year comparisons.
By structuring play into time-based dimensions, we can:
Identify seasonal scoring patterns
Detect improvement over multiple years of data
Normalize results by season or year in downstream analysis</t>
  </si>
  <si>
    <t>Timestamps in mobile golf apps can be off due to timezone, sync, or manual-entry quirks.
If we don’t flag those out-of-band times, any analysis of “morning vs afternoon” or “weekday vs weekend” can get skewed.
By annotating (not deleting) these rows, we preserve scoring data but make it easy to filter on quality later.</t>
  </si>
  <si>
    <t>Derive Hole-level Putting Flags</t>
  </si>
  <si>
    <t>Derive Hole-level Outcome Quality Signals</t>
  </si>
  <si>
    <t>Club-level Validity &amp; Features</t>
  </si>
  <si>
    <t>Round-level Validity &amp; Features Closeout</t>
  </si>
  <si>
    <t>Rename Columns for Analysis</t>
  </si>
  <si>
    <t>Consistent naming conventions make the dataset predictable, easier to join, and safer for reuse in future pipelines.
They also prevent subtle errors when combining tables of different grains (round, hole, or shot).</t>
  </si>
  <si>
    <t>This step establishes a **formal control point** — verifying completeness, audit trails, and quality prior to enrichment.  
It represents a **CRISP-DM “Measure → Analyze” handoff** and a **Six Sigma “Define-to-Measure” gate**, ensuring analytical integrity as the dataset advances in grain and complexity.</t>
  </si>
  <si>
    <t>Establish temporal context and data quality at the **round level** — ensuring that every round has accurate, interpretable, and analysis-ready time features.</t>
  </si>
  <si>
    <t>Most golf performance questions at the hole level boil down to “how did we score on par X holes” or “which holes blew up the round?”
By standardizing these features here, later sections (putting flags, outcome quality, dispersion) can assume a consistent, labeled hole context without having to recalculate it.</t>
  </si>
  <si>
    <t>Putting is one of the largest differentiators in scoring consistency.
These standardized flags allow for quick segmentation of putting performance—by GIR vs. non-GIR, over-expected performance, and overall 3-putt frequency—without re-engineering logic in downstream notebooks or dashboards.</t>
  </si>
  <si>
    <t>Beyond raw scores, golf performance improvement depends on understanding how each hole unfolded.
This logic introduces structured metrics for recovery performance, opportunity conversion, and avoidable errors—bridging the gap between outcome (score) and process (execution quality)</t>
  </si>
  <si>
    <t>This is the club-level anchor table for the rest of 3.3.
Later steps (dispersion, rollups, player-facing summaries) will join back to this profile so we don’t have to recompute yardage statistics.
By enforcing a schema gate here and recording the sufficiency rule, we can explain to stakeholders why some player–club pairs don’t have trustworthy distances.</t>
  </si>
  <si>
    <t>Distance alone doesn’t tell the full story — a club that goes 150y but sprays 25y left/right isn’t the same as a club that goes 150y and stays within 8y.
This step converts raw GPS into operational dispersion metrics that can be rolled up in 3.3.3 and attached back to player_club_profile in 3.3.4.
By logging the anchors and the percentile used, the dispersion logic is reproducible and auditable.</t>
  </si>
  <si>
    <t>This step converts raw hole-by-hole dispersion into usable, club-level accuracy metrics — essential for understanding which clubs are consistent versus erratic.
By weighting results based on the number of shots, this method gives more confidence to dispersion metrics supported by robust data and reduces noise from under-sampled holes.
The output serves as the accuracy companion to the distance metrics from 3.3.1 and will be merged in 3.3.4 to create a unified performance profile.</t>
  </si>
  <si>
    <t>This step fuses the distance (power) and dispersion (accuracy) metrics into one master profile, giving each player–club combination a complete performance fingerprint.
It’s a key integration point between shot-level precision and strategic planning analytics — bridging accuracy and consistency with realistic on-course club selection expectations.
By making this join idempotent and fully governed, the process remains repeatable and traceable for future enrichment phases.</t>
  </si>
  <si>
    <t>Diagnostic Performance Analysis using all relevant KPIs developed in data preparation</t>
  </si>
  <si>
    <t>Modeling &amp; Visualization</t>
  </si>
  <si>
    <t>Facility-level context, Round-level context, Hole-level context from dashboard in 4.1 , Shot-level (mistakes with driver on 2) from 4.2. Produce visual story of dispersion and miss tendencies.</t>
  </si>
  <si>
    <t>This step creates the single source of truth for all facility-level operations (geocoding, timezone lookup, and GolfCourseAPI enrichment).
By merging and preserving editable columns, it enables a reproducible and human-in-the-loop workflow — users can correct or supplement the data without breaking the pipeline.
It also logs the assumption that hint_city and hint_state_abbr will be user-supplied when possible, ensuring transparency in future enrichment accuracy.</t>
  </si>
  <si>
    <t>Record key assumptions and insights for reuse. Also identify useful metrics to track in the future due to current data limitations.</t>
  </si>
  <si>
    <t>Identify practice targets and measurable improvements.
Which areas of my game should I practice to improve scoring?
Driving?
Putting?
Scrambling from &lt; 30 yards?
Approaches &lt; 100 yards?
Approaches from &gt; 100 yards (based on dispersion insights)</t>
  </si>
  <si>
    <t>This step creates the first spatial grounding of each course purely from observed data.
These provisional centroids are essential for mapping, time zone derivation, and later geocoding/API validation steps.
Because the merge is idempotent, analysts can safely rerun this step after upstream changes without corrupting prior edits or cached data.</t>
  </si>
  <si>
    <t>Accurate geographic coordinates are essential for later time zone alignment, API enrichment, and mapping visualizations.
This step ensures every facility–course combination has the best available location data — either empirically from shot data, user hints, or reliable geocoding services — while maintaining a clear audit trail of data provenance (geo_source).
The idempotent merge guarantees safe re-runs after users fill in missing hints or correct locations manually.</t>
  </si>
  <si>
    <t>Establishing a timezone for each facility is a critical precursor to all temporal normalization tasks in later phases.
It enables accurate conversion of timestamps into local round start times, ensuring that time-of-day, weekday/weekend, and seasonal analyses are consistent across regions.
By enforcing defaults and maintaining an audit trail, this step guarantees completeness and reproducibility in temporal data enrichment.</t>
  </si>
  <si>
    <t>This is the controlled integration point with the external GolfCourseAPI.
It decouples network-dependent enrichment from the core dataset, ensuring that:
The pipeline can be safely re-run offline using cached data.
Users can manually correct or re-run specific facilities (run_api_again=True).
No external API errors or rate limits can corrupt the canonical facilities table.
In later steps (3.4.6 – 3.4.9), this cache becomes the trusted source for slope, rating, and location metadata enrichment.</t>
  </si>
  <si>
    <t xml:space="preserve">Shot-level Modeling (to execute my on-course strategy) </t>
  </si>
  <si>
    <t>Dashboard in Tableau to evaluate scoring trends and trouble patterns. Scoring by type (eagle, birdie, etc.),scrambling, putting, other metrics we created in etc. all filterable by person, facility, course, round, time features, etc.</t>
  </si>
  <si>
    <t>Consider creting a better statistical way to create a vector for misses to visualize. Using data from 3.3.3, make a triangle, using the most statistically significant of your data (Driver) as the end dispersion, locate it at and drawing back to your location for all planned distances in player_club_profile except wedges &lt;100 yards.</t>
  </si>
  <si>
    <t>Facility-level Close-Out</t>
  </si>
  <si>
    <t xml:space="preserve">Phase 3 transforms raw, inconsistent golf-shot and round data into a governed, analysis-ready data foundation.
Across 10+ submodules, it establishes data quality, feature engineering, and governance infrastructure that make the downstream analysis (Phases 4–6) trustworthy, reproducible, and auditable.
This phase is the technical backbone of the Golf Performance Analytics Capstone—turning 15 years of round-level data and 5 years of shot-level data into validated, feature-rich datasets aligned with Six Sigma DMAIC and CRISP-DM standards.
</t>
  </si>
  <si>
    <t>Ensure every round in the dataset represents a complete, valid, and chronologically traceable scoring event.
This phase transforms hole-level raw data into a structured, governed round-level dataset.</t>
  </si>
  <si>
    <t>This phase expanded the dataset from individual rounds and clubs to the facility level, consolidating each golf course’s identifying, geographic, and temporal attributes into a unified dimension table (facilities). The goal was to establish each facility’s identity, location, and timezone so that future enrichment and analysis can align all shot-, hole-, and round-level data to the correct geospatial context.</t>
  </si>
  <si>
    <t>Close out 3.4 if future enhancements are added.</t>
  </si>
  <si>
    <t>&lt;class 'pandas.core.frame.DataFrame'&gt;</t>
  </si>
  <si>
    <t>RangeIndex: 3987 entries, 0 to 3986</t>
  </si>
  <si>
    <t>Data columns (total 61 columns):</t>
  </si>
  <si>
    <t xml:space="preserve"> #   Column                     Non-Null Count  Dtype         </t>
  </si>
  <si>
    <t xml:space="preserve"> 0   player_name                3987 non-null   string        </t>
  </si>
  <si>
    <t xml:space="preserve"> 1   round_dt                   3987 non-null   datetime64[ns]</t>
  </si>
  <si>
    <t xml:space="preserve"> 2   facility                   3987 non-null   string        </t>
  </si>
  <si>
    <t xml:space="preserve"> 3   course                     3987 non-null   string        </t>
  </si>
  <si>
    <t xml:space="preserve"> 4   round_score                3987 non-null   Int64         </t>
  </si>
  <si>
    <t xml:space="preserve"> 5   round_fairway_strokes      3987 non-null   Int64         </t>
  </si>
  <si>
    <t xml:space="preserve"> 6   round_putts                3987 non-null   Int64         </t>
  </si>
  <si>
    <t xml:space="preserve"> 7   round_gir                  3987 non-null   float64       </t>
  </si>
  <si>
    <t xml:space="preserve"> 8   hole_number                3987 non-null   Int64         </t>
  </si>
  <si>
    <t xml:space="preserve"> 9   hole_par                   3987 non-null   Int64         </t>
  </si>
  <si>
    <t xml:space="preserve"> 10  shot_fairway_hit_type      3987 non-null   string        </t>
  </si>
  <si>
    <t xml:space="preserve"> 11  hole_fairway_strokes       3987 non-null   Int64         </t>
  </si>
  <si>
    <t xml:space="preserve"> 12  hole_putts                 3987 non-null   Int64         </t>
  </si>
  <si>
    <t xml:space="preserve"> 13  hole_score                 3987 non-null   Int64         </t>
  </si>
  <si>
    <t xml:space="preserve"> 14  hole_gir                   3987 non-null   boolean       </t>
  </si>
  <si>
    <t xml:space="preserve"> 15  shot_club                  1946 non-null   string        </t>
  </si>
  <si>
    <t xml:space="preserve"> 16  shot_direction             1946 non-null   string        </t>
  </si>
  <si>
    <t xml:space="preserve"> 17  shot_start_lat             1946 non-null   Float64       </t>
  </si>
  <si>
    <t xml:space="preserve"> 18  shot_start_lon             1946 non-null   Float64       </t>
  </si>
  <si>
    <t xml:space="preserve"> 19  shot_end_lat               1946 non-null   Float64       </t>
  </si>
  <si>
    <t xml:space="preserve"> 20  shot_end_lon               1946 non-null   Float64       </t>
  </si>
  <si>
    <t xml:space="preserve"> 21  yardage                    1946 non-null   Float64       </t>
  </si>
  <si>
    <t xml:space="preserve"> 22  yardage_to_pin             759 non-null    Float64       </t>
  </si>
  <si>
    <t xml:space="preserve"> 23  row_id                     3987 non-null   int64         </t>
  </si>
  <si>
    <t xml:space="preserve"> 24  yardage_calc               1946 non-null   float64       </t>
  </si>
  <si>
    <t xml:space="preserve"> 25  yardage_error              1946 non-null   Float64       </t>
  </si>
  <si>
    <t xml:space="preserve"> 26  yardage_error_abs          1946 non-null   Float64       </t>
  </si>
  <si>
    <t xml:space="preserve"> 27  yardage_error_pct          1938 non-null   Float64       </t>
  </si>
  <si>
    <t xml:space="preserve"> 28  yardage_suspect            1946 non-null   boolean       </t>
  </si>
  <si>
    <t xml:space="preserve"> 29  round_holes_scored         3987 non-null   Int64         </t>
  </si>
  <si>
    <t xml:space="preserve"> 30  round_is_partial           3987 non-null   boolean       </t>
  </si>
  <si>
    <t xml:space="preserve"> 31  round_no_player            3987 non-null   Int64         </t>
  </si>
  <si>
    <t xml:space="preserve"> 32  round_no_player_course     3987 non-null   Int64         </t>
  </si>
  <si>
    <t xml:space="preserve"> 33  round_id                   3987 non-null   int64         </t>
  </si>
  <si>
    <t xml:space="preserve"> 34  round_key                  3987 non-null   object        </t>
  </si>
  <si>
    <t xml:space="preserve"> 35  date                       3987 non-null   string        </t>
  </si>
  <si>
    <t xml:space="preserve"> 36  time                       3987 non-null   string        </t>
  </si>
  <si>
    <t xml:space="preserve"> 37  hour                       3987 non-null   Int64         </t>
  </si>
  <si>
    <t xml:space="preserve"> 38  dow                        3987 non-null   string        </t>
  </si>
  <si>
    <t xml:space="preserve"> 39  is_weekend                 3987 non-null   bool          </t>
  </si>
  <si>
    <t xml:space="preserve"> 40  part_of_day                3987 non-null   string        </t>
  </si>
  <si>
    <t xml:space="preserve"> 41  round_time_valid           3987 non-null   boolean       </t>
  </si>
  <si>
    <t xml:space="preserve"> 42  year                       3987 non-null   Int64         </t>
  </si>
  <si>
    <t xml:space="preserve"> 43  month                      3987 non-null   Int64         </t>
  </si>
  <si>
    <t xml:space="preserve"> 44  month_name                 3987 non-null   string        </t>
  </si>
  <si>
    <t xml:space="preserve"> 45  year_month                 3987 non-null   string        </t>
  </si>
  <si>
    <t xml:space="preserve"> 46  season                     3987 non-null   string        </t>
  </si>
  <si>
    <t xml:space="preserve"> 47  round_year_index           3987 non-null   Int64         </t>
  </si>
  <si>
    <t xml:space="preserve"> 48  hole_par_bucket            3987 non-null   string        </t>
  </si>
  <si>
    <t xml:space="preserve"> 49  hole_strokes_over_par      3987 non-null   Int64         </t>
  </si>
  <si>
    <t xml:space="preserve"> 50  hole_score_name            3987 non-null   string        </t>
  </si>
  <si>
    <t xml:space="preserve"> 51  hole_putts_over_expected   3987 non-null   Int64         </t>
  </si>
  <si>
    <t xml:space="preserve"> 52  hole_putts_3plus           3987 non-null   boolean       </t>
  </si>
  <si>
    <t xml:space="preserve"> 53  hole_gir_putts_3plus       3987 non-null   boolean       </t>
  </si>
  <si>
    <t xml:space="preserve"> 54  hole_notgir_putts_3plus    3987 non-null   boolean       </t>
  </si>
  <si>
    <t xml:space="preserve"> 55  hole_scramble_opportunity  3987 non-null   boolean       </t>
  </si>
  <si>
    <t xml:space="preserve"> 56  hole_scramble_success      3987 non-null   boolean       </t>
  </si>
  <si>
    <t xml:space="preserve"> 57  hole_gir_wasted            3987 non-null   boolean       </t>
  </si>
  <si>
    <t xml:space="preserve"> 58  hole_notgir_chip_in        3987 non-null   boolean       </t>
  </si>
  <si>
    <t xml:space="preserve"> 59  hole_is_scoring_chance     3987 non-null   boolean       </t>
  </si>
  <si>
    <t xml:space="preserve"> 60  hole_is_recovery           3987 non-null   boolean       </t>
  </si>
  <si>
    <t>ADD</t>
  </si>
  <si>
    <t>golf_rounds</t>
  </si>
  <si>
    <t>golf_holes</t>
  </si>
  <si>
    <t>golf_shots</t>
  </si>
  <si>
    <t>NO</t>
  </si>
  <si>
    <t>YES</t>
  </si>
  <si>
    <t>Create DataFrames for Phase 4</t>
  </si>
  <si>
    <t>This step serves as the final **governance and spatial enrichment checkpoint** for hole-level data.  
In addition to validating all hole-level features and performance metrics, it now introduces **hole-level shot centroids**—the median latitude and longitude of all shots observed for each `(facility, course, hole_number)` combination.  
These centroids (`hole_lat`, `hole_lon`) establish a stable **geospatial anchor** for hole-level analysis and visualization in later phases, ensuring that every hole can be mapped even if full tee and pin coordinates are unavailable.</t>
  </si>
  <si>
    <t>Hole-Level Validity &amp; Features Closeout</t>
  </si>
  <si>
    <t>This step officially closes Phase 3: Data Preparation, consolidating all validated data, metadata, and governance artifacts into final export formats.
It functions as the handoff point between data engineering and analysis, ensuring that all deliverables are complete, reproducible, and ready for Tableau, Power BI, or Python-based modeling in Phase 4.</t>
  </si>
  <si>
    <t>Data Preparation Close-Out (Exports)</t>
  </si>
  <si>
    <t>Adds a durable hole_id (round_id + "-" + hole_number) to golf_valid so every hole has a unique, reproducible key.
Splits the governed master table into three analysis-ready DataFrames:
golf_rounds — 1 row per round_id, containing all round-level, player-level, facility-level, and temporal context fields needed for filtering and aggregation.
golf_holes — 1 row per scored hole (hole_id), with all hole-level scoring and performance metrics, plus round context for flexible dashboard filtering.
golf_shots — 1 row per shot (where shot_club exists), retaining shot-level GPS and yardage diagnostics from Step 2.5, along with its round/hole context for blending and drill-downs.
Registers all four tables — golf_valid, golf_rounds, golf_holes, and golf_shots — in the master data dictionary.
Each call to generate_data_dictionary() documents table-level metadata, including:
table_name
each column’s dtype
a clear business definition in description
the lineage (which 3.x step or source system produced it).
This ensures that as Phase 4 begins, every analytical dataset can be traced back to its preparation logic, supporting reproducibility and governance standards.</t>
  </si>
  <si>
    <t>Phase 3 Close Out</t>
  </si>
  <si>
    <t>Step 3.5 finalizes Phase 3: Data Preparation, transforming the governed, cleaned, and enriched GolfShot dataset into a fully documented, analysis-ready foundation for Phases 4–6.
It completes the bridge between data engineering and analytics deployment, ensuring every table, column, and transformation has been validated, logged, and exported with complete traceability.</t>
  </si>
  <si>
    <t>Enrich Player–Club Profile with Dispersion Cone Fields</t>
  </si>
  <si>
    <t>Club-Level Validity &amp; Features Closeout</t>
  </si>
  <si>
    <t>This closeout ensures that the **club-level analysis pipeline is auditable, traceable, and production-ready** before transitioning to visualization or statistical modeling.  
By freezing the schema and verifying completeness here, Phase 4 (e.g., power-vs-precision mapping or performance vector modeling) can rely on consistent, validated data.  
It also documents the key business assumption: that player–club metrics are mature enough for higher-level analytics without needing re-engineering in Phase 3.</t>
  </si>
  <si>
    <t>Keeps the dispersion logic centralized in the data pipeline (not in Tableau).
Guarantees that all clubs for a given player share the same angular model, making cones visually consistent.
Uses the best-measured club (1W) as the authority to avoid overfitting to sparse irons/wedges.
Makes Phase 4 dashboards simpler: width = “already in the table.”</t>
  </si>
  <si>
    <t>The club-level feature engineering phase (3.3.x) transforms shot-level performance data into strategic, per-club profiles that quantify both distance control and accuracy dispersion.
It connects detailed shot geometry to player–club performance insights, producing calibrated dispersion cones and reliability metrics for every club in the bag.</t>
  </si>
  <si>
    <t>8. Future Enhancement</t>
  </si>
  <si>
    <t>Steps designated for future enhancements.</t>
  </si>
  <si>
    <t>Add vector creation to player_club_profile for use in dashboard visualization or folium/kepler--mapping vector on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</si>
</sst>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u/>
      <sz val="11"/>
      <color theme="10"/>
      <name val="Calibri"/>
      <family val="2"/>
      <scheme val="minor"/>
    </font>
    <font>
      <b/>
      <sz val="16"/>
      <color rgb="FF000000"/>
      <name val="Arial"/>
      <family val="2"/>
    </font>
    <font>
      <b/>
      <sz val="11"/>
      <color rgb="FF000000"/>
      <name val="Arial"/>
      <family val="2"/>
    </font>
    <font>
      <sz val="12"/>
      <color rgb="FF000000"/>
      <name val="Arial"/>
      <family val="2"/>
    </font>
    <font>
      <b/>
      <sz val="12"/>
      <color rgb="FF000000"/>
      <name val="Arial"/>
      <family val="2"/>
    </font>
    <font>
      <sz val="11"/>
      <color rgb="FF000000"/>
      <name val="Arial"/>
      <family val="2"/>
    </font>
    <font>
      <sz val="10.5"/>
      <color rgb="FF000000"/>
      <name val="Arial"/>
      <family val="2"/>
    </font>
    <font>
      <sz val="10.5"/>
      <color rgb="FF188038"/>
      <name val="Courier New"/>
      <family val="3"/>
    </font>
    <font>
      <b/>
      <sz val="10.5"/>
      <color rgb="FF000000"/>
      <name val="Arial"/>
      <family val="2"/>
    </font>
    <font>
      <b/>
      <sz val="10.5"/>
      <color rgb="FF188038"/>
      <name val="Courier New"/>
      <family val="3"/>
    </font>
    <font>
      <sz val="11"/>
      <color rgb="FFFF0000"/>
      <name val="Calibri"/>
      <family val="2"/>
      <scheme val="minor"/>
    </font>
    <font>
      <sz val="10"/>
      <color theme="1"/>
      <name val="Consolas"/>
      <family val="3"/>
    </font>
  </fonts>
  <fills count="4">
    <fill>
      <patternFill patternType="none"/>
    </fill>
    <fill>
      <patternFill patternType="gray125"/>
    </fill>
    <fill>
      <patternFill patternType="solid">
        <fgColor rgb="FFF3F3F3"/>
        <bgColor indexed="64"/>
      </patternFill>
    </fill>
    <fill>
      <patternFill patternType="solid">
        <fgColor rgb="FFF1F3F4"/>
        <bgColor indexed="64"/>
      </patternFill>
    </fill>
  </fills>
  <borders count="18">
    <border>
      <left/>
      <right/>
      <top/>
      <bottom/>
      <diagonal/>
    </border>
    <border>
      <left style="medium">
        <color rgb="FFBDC1C6"/>
      </left>
      <right style="medium">
        <color rgb="FFBDC1C6"/>
      </right>
      <top style="medium">
        <color rgb="FFBDC1C6"/>
      </top>
      <bottom style="medium">
        <color rgb="FFBDC1C6"/>
      </bottom>
      <diagonal/>
    </border>
    <border>
      <left style="medium">
        <color rgb="FFBDC1C6"/>
      </left>
      <right/>
      <top style="medium">
        <color rgb="FFBDC1C6"/>
      </top>
      <bottom style="medium">
        <color rgb="FFBDC1C6"/>
      </bottom>
      <diagonal/>
    </border>
    <border>
      <left/>
      <right/>
      <top style="medium">
        <color rgb="FFBDC1C6"/>
      </top>
      <bottom style="medium">
        <color rgb="FFBDC1C6"/>
      </bottom>
      <diagonal/>
    </border>
    <border>
      <left/>
      <right style="medium">
        <color rgb="FFBDC1C6"/>
      </right>
      <top style="medium">
        <color rgb="FFBDC1C6"/>
      </top>
      <bottom style="medium">
        <color rgb="FFBDC1C6"/>
      </bottom>
      <diagonal/>
    </border>
    <border>
      <left style="medium">
        <color rgb="FF000000"/>
      </left>
      <right style="medium">
        <color rgb="FF000000"/>
      </right>
      <top style="medium">
        <color rgb="FFBDC1C6"/>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BDC1C6"/>
      </left>
      <right/>
      <top style="medium">
        <color rgb="FFBDC1C6"/>
      </top>
      <bottom/>
      <diagonal/>
    </border>
    <border>
      <left/>
      <right/>
      <top style="medium">
        <color rgb="FFBDC1C6"/>
      </top>
      <bottom/>
      <diagonal/>
    </border>
    <border>
      <left/>
      <right style="medium">
        <color rgb="FFBDC1C6"/>
      </right>
      <top style="medium">
        <color rgb="FFBDC1C6"/>
      </top>
      <bottom/>
      <diagonal/>
    </border>
    <border>
      <left style="medium">
        <color rgb="FFBDC1C6"/>
      </left>
      <right style="medium">
        <color rgb="FFCCCCCC"/>
      </right>
      <top style="medium">
        <color rgb="FFCCCCCC"/>
      </top>
      <bottom style="medium">
        <color rgb="FFCCCCCC"/>
      </bottom>
      <diagonal/>
    </border>
    <border>
      <left style="medium">
        <color rgb="FFBDC1C6"/>
      </left>
      <right style="medium">
        <color rgb="FFBDC1C6"/>
      </right>
      <top style="medium">
        <color rgb="FFBDC1C6"/>
      </top>
      <bottom/>
      <diagonal/>
    </border>
    <border>
      <left style="medium">
        <color rgb="FFBDC1C6"/>
      </left>
      <right style="medium">
        <color rgb="FFBDC1C6"/>
      </right>
      <top/>
      <bottom style="medium">
        <color rgb="FFBDC1C6"/>
      </bottom>
      <diagonal/>
    </border>
    <border>
      <left style="medium">
        <color rgb="FFBDC1C6"/>
      </left>
      <right style="medium">
        <color rgb="FFCCCCCC"/>
      </right>
      <top style="medium">
        <color rgb="FFCCCCCC"/>
      </top>
      <bottom/>
      <diagonal/>
    </border>
    <border>
      <left style="medium">
        <color rgb="FFBDC1C6"/>
      </left>
      <right style="medium">
        <color rgb="FFCCCCCC"/>
      </right>
      <top/>
      <bottom style="medium">
        <color rgb="FFCCCCCC"/>
      </bottom>
      <diagonal/>
    </border>
    <border>
      <left style="medium">
        <color rgb="FFBDC1C6"/>
      </left>
      <right/>
      <top/>
      <bottom style="medium">
        <color rgb="FFBDC1C6"/>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0" fillId="0" borderId="0" xfId="0" applyAlignment="1">
      <alignment horizontal="left" vertical="top"/>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5" fillId="0" borderId="7" xfId="0" applyFont="1" applyBorder="1" applyAlignment="1">
      <alignment vertical="center" wrapText="1"/>
    </xf>
    <xf numFmtId="14" fontId="5" fillId="0" borderId="7" xfId="0" applyNumberFormat="1" applyFont="1" applyBorder="1" applyAlignment="1">
      <alignment vertical="center" wrapText="1"/>
    </xf>
    <xf numFmtId="0" fontId="0" fillId="0" borderId="7" xfId="0" applyBorder="1" applyAlignment="1">
      <alignment vertical="top"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0" fillId="0" borderId="0" xfId="0" applyAlignment="1">
      <alignment vertical="center" wrapText="1"/>
    </xf>
    <xf numFmtId="0" fontId="2" fillId="0" borderId="14" xfId="1" applyBorder="1" applyAlignment="1">
      <alignment vertical="center" wrapText="1"/>
    </xf>
    <xf numFmtId="0" fontId="2" fillId="0" borderId="15" xfId="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8" fillId="0" borderId="11" xfId="0" applyFont="1" applyBorder="1" applyAlignment="1">
      <alignment vertical="center" wrapText="1"/>
    </xf>
    <xf numFmtId="0" fontId="5" fillId="0" borderId="1" xfId="0" applyFont="1" applyBorder="1" applyAlignment="1">
      <alignment vertical="center" wrapText="1"/>
    </xf>
    <xf numFmtId="0" fontId="8" fillId="0" borderId="2" xfId="0" applyFont="1" applyBorder="1" applyAlignment="1">
      <alignment vertical="center" wrapText="1"/>
    </xf>
    <xf numFmtId="0" fontId="0" fillId="0" borderId="1" xfId="0" applyBorder="1" applyAlignment="1">
      <alignment vertical="top" wrapText="1"/>
    </xf>
    <xf numFmtId="0" fontId="5" fillId="0" borderId="2" xfId="0" applyFont="1" applyBorder="1" applyAlignment="1">
      <alignment vertical="center" wrapText="1"/>
    </xf>
    <xf numFmtId="0" fontId="5" fillId="0" borderId="8" xfId="0" applyFont="1" applyBorder="1" applyAlignment="1">
      <alignment vertical="center" wrapText="1"/>
    </xf>
    <xf numFmtId="0" fontId="11" fillId="0" borderId="16" xfId="0" applyFont="1" applyBorder="1" applyAlignment="1">
      <alignment horizontal="left" vertical="center" wrapText="1" indent="1"/>
    </xf>
    <xf numFmtId="0" fontId="0" fillId="0" borderId="2" xfId="0" applyBorder="1" applyAlignment="1">
      <alignment vertical="top"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17" xfId="0" applyFont="1" applyBorder="1" applyAlignment="1">
      <alignment horizontal="left" vertical="top"/>
    </xf>
    <xf numFmtId="0" fontId="1" fillId="0" borderId="0" xfId="0" applyFont="1"/>
    <xf numFmtId="0" fontId="0" fillId="0" borderId="0" xfId="0" applyAlignment="1">
      <alignment horizontal="left" vertical="top" wrapText="1"/>
    </xf>
    <xf numFmtId="1" fontId="0" fillId="0" borderId="0" xfId="0" applyNumberFormat="1" applyAlignment="1">
      <alignment horizontal="left" vertical="top"/>
    </xf>
    <xf numFmtId="0" fontId="1" fillId="0" borderId="17" xfId="0" applyFont="1" applyBorder="1" applyAlignment="1">
      <alignment horizontal="left" vertical="top" wrapText="1"/>
    </xf>
    <xf numFmtId="0" fontId="0" fillId="0" borderId="0" xfId="0" applyAlignment="1">
      <alignment wrapText="1"/>
    </xf>
    <xf numFmtId="0" fontId="13" fillId="0" borderId="0" xfId="0" applyFont="1" applyAlignment="1">
      <alignment horizontal="left" vertical="center"/>
    </xf>
    <xf numFmtId="0" fontId="12" fillId="0" borderId="0" xfId="0" applyFont="1"/>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0" fillId="0" borderId="12" xfId="0" applyBorder="1" applyAlignment="1">
      <alignment vertical="top" wrapText="1"/>
    </xf>
    <xf numFmtId="0" fontId="0" fillId="0" borderId="13" xfId="0" applyBorder="1" applyAlignment="1">
      <alignment vertical="top" wrapText="1"/>
    </xf>
    <xf numFmtId="0" fontId="5" fillId="0" borderId="12" xfId="0" applyFont="1" applyBorder="1" applyAlignment="1">
      <alignment vertical="center" wrapText="1"/>
    </xf>
    <xf numFmtId="0" fontId="5" fillId="0" borderId="13" xfId="0" applyFont="1" applyBorder="1" applyAlignment="1">
      <alignment vertical="center" wrapText="1"/>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12" xfId="0" applyFont="1" applyBorder="1" applyAlignment="1">
      <alignment vertical="center" wrapText="1"/>
    </xf>
    <xf numFmtId="0" fontId="6" fillId="0" borderId="13" xfId="0" applyFont="1" applyBorder="1" applyAlignment="1">
      <alignment vertical="center" wrapText="1"/>
    </xf>
    <xf numFmtId="0" fontId="7" fillId="0" borderId="12" xfId="0" applyFont="1" applyBorder="1" applyAlignment="1">
      <alignment vertical="center" wrapText="1"/>
    </xf>
    <xf numFmtId="0" fontId="7" fillId="0" borderId="13" xfId="0" applyFont="1" applyBorder="1" applyAlignment="1">
      <alignment vertical="center" wrapText="1"/>
    </xf>
  </cellXfs>
  <cellStyles count="2">
    <cellStyle name="Hyperlink" xfId="1" builtinId="8"/>
    <cellStyle name="Normal" xfId="0" builtinId="0"/>
  </cellStyles>
  <dxfs count="18">
    <dxf>
      <font>
        <color theme="0"/>
      </font>
      <fill>
        <patternFill>
          <bgColor theme="1"/>
        </patternFill>
      </fill>
    </dxf>
    <dxf>
      <fill>
        <patternFill>
          <bgColor rgb="FFDDDDDD"/>
        </patternFill>
      </fill>
    </dxf>
    <dxf>
      <fill>
        <patternFill>
          <bgColor theme="8" tint="0.59996337778862885"/>
        </patternFill>
      </fill>
    </dxf>
    <dxf>
      <font>
        <color theme="0"/>
      </font>
      <fill>
        <patternFill patternType="solid">
          <bgColor rgb="FFFF0000"/>
        </patternFill>
      </fill>
    </dxf>
    <dxf>
      <fill>
        <patternFill>
          <bgColor rgb="FFFFFF99"/>
        </patternFill>
      </fill>
    </dxf>
    <dxf>
      <fill>
        <patternFill>
          <bgColor rgb="FF10C08A"/>
        </patternFill>
      </fill>
    </dxf>
    <dxf>
      <fill>
        <patternFill>
          <bgColor theme="3" tint="0.39994506668294322"/>
        </patternFill>
      </fill>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numFmt numFmtId="0" formatCode="General"/>
      <alignment horizontal="left" vertical="top" textRotation="0" wrapText="0" indent="0" justifyLastLine="0" shrinkToFit="0" readingOrder="0"/>
    </dxf>
    <dxf>
      <alignment horizontal="left" vertical="top" textRotation="0" wrapText="0" indent="0" justifyLastLine="0" shrinkToFit="0" readingOrder="0"/>
    </dxf>
    <dxf>
      <border outline="0">
        <top style="thin">
          <color auto="1"/>
        </top>
      </border>
    </dxf>
    <dxf>
      <alignment horizontal="left"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10C08A"/>
      <color rgb="FFFFFF99"/>
      <color rgb="FFFF5050"/>
      <color rgb="FF66FFFF"/>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7FFC3C-DFF2-4459-8BF1-1B83727A7B38}" name="Table1" displayName="Table1" ref="A1:G66" totalsRowShown="0" headerRowDxfId="17" dataDxfId="15" headerRowBorderDxfId="16" tableBorderDxfId="14">
  <autoFilter ref="A1:G66" xr:uid="{357FFC3C-DFF2-4459-8BF1-1B83727A7B38}"/>
  <tableColumns count="7">
    <tableColumn id="1" xr3:uid="{3B0D502A-9E64-4550-B675-C9685468BBED}" name="WBS Level" dataDxfId="13"/>
    <tableColumn id="2" xr3:uid="{1A7152CC-D77E-41E1-BD5B-6B59287A6BDD}" name="WBS ID" dataDxfId="12">
      <calculatedColumnFormula array="1">IF($A2=1,
    COUNTIF($A$2:$A2,1),
IF($A2=2,
    INDEX($B$2:$B$103,
          MAX(IF($A$2:$A2=1,ROW($A$2:$A2)-ROW($A$2)+1))
    )
    &amp; "."
    &amp;
    COUNTIF(
        INDEX($A$2:$A2,
              MAX(IF($A$2:$A2=1,ROW($A$2:$A2)-ROW($A$2)+1))
        ):$A2,
        2
    ),
IF($A2=3,
    INDEX($B$2:$B$103,
          MAX(IF($A$2:$A2=2,ROW($A$2:$A2)-ROW($A$2)+1))
    )
    &amp; "."
    &amp;
    COUNTIF(
        INDEX($A$2:$A2,
              MAX(IF($A$2:$A2=2,ROW($A$2:$A2)-ROW($A$2)+1))
        ):$A2,
        3
    ),
IF($A2=4,
    INDEX($B$2:$B$103,
          MAX(IF($A$2:$A2=3,ROW($A$2:$A2)-ROW($A$2)+1))
    )
    &amp; "."
    &amp;
    COUNTIF(
        INDEX($A$2:$A2,
              MAX(IF($A$2:$A2=3,ROW($A$2:$A2)-ROW($A$2)+1))
        ):$A2,
        4
    ),
""))))</calculatedColumnFormula>
    </tableColumn>
    <tableColumn id="3" xr3:uid="{066BDD07-8ED9-44E9-848C-CEBF06A15A43}" name="Task Name" dataDxfId="11"/>
    <tableColumn id="4" xr3:uid="{C9E9E51B-CA1E-4ECE-82D8-0F1654099CF5}" name="Status" dataDxfId="10"/>
    <tableColumn id="5" xr3:uid="{FA380AD4-64A9-47CF-A4A8-8989B6509001}" name="DMAIC Phase" dataDxfId="9"/>
    <tableColumn id="6" xr3:uid="{34D5D94E-9847-4E91-9B2F-DAD53C366FC5}" name="CRISP-DM Phase" dataDxfId="8"/>
    <tableColumn id="7" xr3:uid="{4A966DA1-7099-4A09-969D-17DAF58C688F}" name="Description" dataDxfId="7"/>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hyperlink" Target="https://golfcourseapi.com/" TargetMode="External"/><Relationship Id="rId1" Type="http://schemas.openxmlformats.org/officeDocument/2006/relationships/hyperlink" Target="https://golfsho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tabSelected="1" workbookViewId="0">
      <selection activeCell="C2" sqref="C2"/>
    </sheetView>
  </sheetViews>
  <sheetFormatPr defaultRowHeight="15" x14ac:dyDescent="0.25"/>
  <cols>
    <col min="1" max="1" width="12.42578125" customWidth="1"/>
    <col min="2" max="2" width="9.5703125" customWidth="1"/>
    <col min="3" max="3" width="37.5703125" customWidth="1"/>
    <col min="4" max="4" width="29.7109375" bestFit="1" customWidth="1"/>
    <col min="5" max="5" width="15.140625" bestFit="1" customWidth="1"/>
    <col min="6" max="6" width="22.5703125" bestFit="1" customWidth="1"/>
    <col min="7" max="7" width="115.5703125" style="30" customWidth="1"/>
    <col min="8" max="8" width="68.28515625" bestFit="1" customWidth="1"/>
  </cols>
  <sheetData>
    <row r="1" spans="1:7" x14ac:dyDescent="0.25">
      <c r="A1" s="25" t="s">
        <v>0</v>
      </c>
      <c r="B1" s="25" t="s">
        <v>58</v>
      </c>
      <c r="C1" s="25" t="s">
        <v>1</v>
      </c>
      <c r="D1" s="25" t="s">
        <v>110</v>
      </c>
      <c r="E1" s="25" t="s">
        <v>2</v>
      </c>
      <c r="F1" s="25" t="s">
        <v>3</v>
      </c>
      <c r="G1" s="29" t="s">
        <v>4</v>
      </c>
    </row>
    <row r="2" spans="1:7" ht="60" x14ac:dyDescent="0.25">
      <c r="A2" s="28">
        <v>1</v>
      </c>
      <c r="B2" s="1" cm="1">
        <f t="array" ref="B2">IF($A2=1,
    COUNTIF($A$2:$A2,1),
IF($A2=2,
    INDEX($B$2:$B$103,
          MAX(IF($A$2:$A2=1,ROW($A$2:$A2)-ROW($A$2)+1))
    )
    &amp; "."
    &amp;
    COUNTIF(
        INDEX($A$2:$A2,
              MAX(IF($A$2:$A2=1,ROW($A$2:$A2)-ROW($A$2)+1))
        ):$A2,
        2
    ),
IF($A2=3,
    INDEX($B$2:$B$103,
          MAX(IF($A$2:$A2=2,ROW($A$2:$A2)-ROW($A$2)+1))
    )
    &amp; "."
    &amp;
    COUNTIF(
        INDEX($A$2:$A2,
              MAX(IF($A$2:$A2=2,ROW($A$2:$A2)-ROW($A$2)+1))
        ):$A2,
        3
    ),
IF($A2=4,
    INDEX($B$2:$B$103,
          MAX(IF($A$2:$A2=3,ROW($A$2:$A2)-ROW($A$2)+1))
    )
    &amp; "."
    &amp;
    COUNTIF(
        INDEX($A$2:$A2,
              MAX(IF($A$2:$A2=3,ROW($A$2:$A2)-ROW($A$2)+1))
        ):$A2,
        4
    ),
""))))</f>
        <v>1</v>
      </c>
      <c r="C2" s="27" t="s">
        <v>46</v>
      </c>
      <c r="D2" s="1" t="s">
        <v>202</v>
      </c>
      <c r="E2" s="1" t="s">
        <v>41</v>
      </c>
      <c r="F2" s="1" t="s">
        <v>46</v>
      </c>
      <c r="G2" s="27" t="s">
        <v>209</v>
      </c>
    </row>
    <row r="3" spans="1:7" ht="60" x14ac:dyDescent="0.25">
      <c r="A3" s="28">
        <v>2</v>
      </c>
      <c r="B3" s="1" t="str" cm="1">
        <f t="array" ref="B3">IF($A3=1,
    COUNTIF($A$2:$A3,1),
IF($A3=2,
    INDEX($B$2:$B$103,
          MAX(IF($A$2:$A3=1,ROW($A$2:$A3)-ROW($A$2)+1))
    )
    &amp; "."
    &amp;
    COUNTIF(
        INDEX($A$2:$A3,
              MAX(IF($A$2:$A3=1,ROW($A$2:$A3)-ROW($A$2)+1))
        ):$A3,
        2
    ),
IF($A3=3,
    INDEX($B$2:$B$103,
          MAX(IF($A$2:$A3=2,ROW($A$2:$A3)-ROW($A$2)+1))
    )
    &amp; "."
    &amp;
    COUNTIF(
        INDEX($A$2:$A3,
              MAX(IF($A$2:$A3=2,ROW($A$2:$A3)-ROW($A$2)+1))
        ):$A3,
        3
    ),
IF($A3=4,
    INDEX($B$2:$B$103,
          MAX(IF($A$2:$A3=3,ROW($A$2:$A3)-ROW($A$2)+1))
    )
    &amp; "."
    &amp;
    COUNTIF(
        INDEX($A$2:$A3,
              MAX(IF($A$2:$A3=3,ROW($A$2:$A3)-ROW($A$2)+1))
        ):$A3,
        4
    ),
""))))</f>
        <v>1.1</v>
      </c>
      <c r="C3" s="27" t="s">
        <v>5</v>
      </c>
      <c r="D3" s="1" t="s">
        <v>202</v>
      </c>
      <c r="E3" s="1" t="s">
        <v>41</v>
      </c>
      <c r="F3" s="1" t="s">
        <v>46</v>
      </c>
      <c r="G3" s="27" t="s">
        <v>210</v>
      </c>
    </row>
    <row r="4" spans="1:7" ht="60" x14ac:dyDescent="0.25">
      <c r="A4" s="28">
        <v>2</v>
      </c>
      <c r="B4" s="1" t="str" cm="1">
        <f t="array" ref="B4">IF($A4=1,
    COUNTIF($A$2:$A4,1),
IF($A4=2,
    INDEX($B$2:$B$103,
          MAX(IF($A$2:$A4=1,ROW($A$2:$A4)-ROW($A$2)+1))
    )
    &amp; "."
    &amp;
    COUNTIF(
        INDEX($A$2:$A4,
              MAX(IF($A$2:$A4=1,ROW($A$2:$A4)-ROW($A$2)+1))
        ):$A4,
        2
    ),
IF($A4=3,
    INDEX($B$2:$B$103,
          MAX(IF($A$2:$A4=2,ROW($A$2:$A4)-ROW($A$2)+1))
    )
    &amp; "."
    &amp;
    COUNTIF(
        INDEX($A$2:$A4,
              MAX(IF($A$2:$A4=2,ROW($A$2:$A4)-ROW($A$2)+1))
        ):$A4,
        3
    ),
IF($A4=4,
    INDEX($B$2:$B$103,
          MAX(IF($A$2:$A4=3,ROW($A$2:$A4)-ROW($A$2)+1))
    )
    &amp; "."
    &amp;
    COUNTIF(
        INDEX($A$2:$A4,
              MAX(IF($A$2:$A4=3,ROW($A$2:$A4)-ROW($A$2)+1))
        ):$A4,
        4
    ),
""))))</f>
        <v>1.2</v>
      </c>
      <c r="C4" s="27" t="s">
        <v>211</v>
      </c>
      <c r="D4" s="1" t="s">
        <v>202</v>
      </c>
      <c r="E4" s="1" t="s">
        <v>41</v>
      </c>
      <c r="F4" s="1" t="s">
        <v>46</v>
      </c>
      <c r="G4" s="27" t="s">
        <v>212</v>
      </c>
    </row>
    <row r="5" spans="1:7" ht="45" x14ac:dyDescent="0.25">
      <c r="A5" s="28">
        <v>1</v>
      </c>
      <c r="B5" s="1" cm="1">
        <f t="array" ref="B5">IF($A5=1,
    COUNTIF($A$2:$A5,1),
IF($A5=2,
    INDEX($B$2:$B$103,
          MAX(IF($A$2:$A5=1,ROW($A$2:$A5)-ROW($A$2)+1))
    )
    &amp; "."
    &amp;
    COUNTIF(
        INDEX($A$2:$A5,
              MAX(IF($A$2:$A5=1,ROW($A$2:$A5)-ROW($A$2)+1))
        ):$A5,
        2
    ),
IF($A5=3,
    INDEX($B$2:$B$103,
          MAX(IF($A$2:$A5=2,ROW($A$2:$A5)-ROW($A$2)+1))
    )
    &amp; "."
    &amp;
    COUNTIF(
        INDEX($A$2:$A5,
              MAX(IF($A$2:$A5=2,ROW($A$2:$A5)-ROW($A$2)+1))
        ):$A5,
        3
    ),
IF($A5=4,
    INDEX($B$2:$B$103,
          MAX(IF($A$2:$A5=3,ROW($A$2:$A5)-ROW($A$2)+1))
    )
    &amp; "."
    &amp;
    COUNTIF(
        INDEX($A$2:$A5,
              MAX(IF($A$2:$A5=3,ROW($A$2:$A5)-ROW($A$2)+1))
        ):$A5,
        4
    ),
""))))</f>
        <v>2</v>
      </c>
      <c r="C5" s="27" t="s">
        <v>6</v>
      </c>
      <c r="D5" s="1" t="s">
        <v>202</v>
      </c>
      <c r="E5" s="1" t="s">
        <v>42</v>
      </c>
      <c r="F5" s="1" t="s">
        <v>6</v>
      </c>
      <c r="G5" s="27" t="s">
        <v>213</v>
      </c>
    </row>
    <row r="6" spans="1:7" ht="60" x14ac:dyDescent="0.25">
      <c r="A6" s="28">
        <v>2</v>
      </c>
      <c r="B6" s="1" t="str" cm="1">
        <f t="array" ref="B6">IF($A6=1,
    COUNTIF($A$2:$A6,1),
IF($A6=2,
    INDEX($B$2:$B$103,
          MAX(IF($A$2:$A6=1,ROW($A$2:$A6)-ROW($A$2)+1))
    )
    &amp; "."
    &amp;
    COUNTIF(
        INDEX($A$2:$A6,
              MAX(IF($A$2:$A6=1,ROW($A$2:$A6)-ROW($A$2)+1))
        ):$A6,
        2
    ),
IF($A6=3,
    INDEX($B$2:$B$103,
          MAX(IF($A$2:$A6=2,ROW($A$2:$A6)-ROW($A$2)+1))
    )
    &amp; "."
    &amp;
    COUNTIF(
        INDEX($A$2:$A6,
              MAX(IF($A$2:$A6=2,ROW($A$2:$A6)-ROW($A$2)+1))
        ):$A6,
        3
    ),
IF($A6=4,
    INDEX($B$2:$B$103,
          MAX(IF($A$2:$A6=3,ROW($A$2:$A6)-ROW($A$2)+1))
    )
    &amp; "."
    &amp;
    COUNTIF(
        INDEX($A$2:$A6,
              MAX(IF($A$2:$A6=3,ROW($A$2:$A6)-ROW($A$2)+1))
        ):$A6,
        4
    ),
""))))</f>
        <v>2.1</v>
      </c>
      <c r="C6" s="27" t="s">
        <v>120</v>
      </c>
      <c r="D6" s="1" t="s">
        <v>202</v>
      </c>
      <c r="E6" s="1" t="s">
        <v>42</v>
      </c>
      <c r="F6" s="1" t="s">
        <v>6</v>
      </c>
      <c r="G6" s="27" t="s">
        <v>214</v>
      </c>
    </row>
    <row r="7" spans="1:7" ht="45" x14ac:dyDescent="0.25">
      <c r="A7" s="28">
        <v>2</v>
      </c>
      <c r="B7" s="1" t="str" cm="1">
        <f t="array" ref="B7">IF($A7=1,
    COUNTIF($A$2:$A7,1),
IF($A7=2,
    INDEX($B$2:$B$103,
          MAX(IF($A$2:$A7=1,ROW($A$2:$A7)-ROW($A$2)+1))
    )
    &amp; "."
    &amp;
    COUNTIF(
        INDEX($A$2:$A7,
              MAX(IF($A$2:$A7=1,ROW($A$2:$A7)-ROW($A$2)+1))
        ):$A7,
        2
    ),
IF($A7=3,
    INDEX($B$2:$B$103,
          MAX(IF($A$2:$A7=2,ROW($A$2:$A7)-ROW($A$2)+1))
    )
    &amp; "."
    &amp;
    COUNTIF(
        INDEX($A$2:$A7,
              MAX(IF($A$2:$A7=2,ROW($A$2:$A7)-ROW($A$2)+1))
        ):$A7,
        3
    ),
IF($A7=4,
    INDEX($B$2:$B$103,
          MAX(IF($A$2:$A7=3,ROW($A$2:$A7)-ROW($A$2)+1))
    )
    &amp; "."
    &amp;
    COUNTIF(
        INDEX($A$2:$A7,
              MAX(IF($A$2:$A7=3,ROW($A$2:$A7)-ROW($A$2)+1))
        ):$A7,
        4
    ),
""))))</f>
        <v>2.2</v>
      </c>
      <c r="C7" s="27" t="s">
        <v>10</v>
      </c>
      <c r="D7" s="1" t="s">
        <v>202</v>
      </c>
      <c r="E7" s="1" t="s">
        <v>42</v>
      </c>
      <c r="F7" s="1" t="s">
        <v>6</v>
      </c>
      <c r="G7" s="27" t="s">
        <v>215</v>
      </c>
    </row>
    <row r="8" spans="1:7" ht="45" x14ac:dyDescent="0.25">
      <c r="A8" s="28">
        <v>2</v>
      </c>
      <c r="B8" s="1" t="str" cm="1">
        <f t="array" ref="B8">IF($A8=1,
    COUNTIF($A$2:$A8,1),
IF($A8=2,
    INDEX($B$2:$B$103,
          MAX(IF($A$2:$A8=1,ROW($A$2:$A8)-ROW($A$2)+1))
    )
    &amp; "."
    &amp;
    COUNTIF(
        INDEX($A$2:$A8,
              MAX(IF($A$2:$A8=1,ROW($A$2:$A8)-ROW($A$2)+1))
        ):$A8,
        2
    ),
IF($A8=3,
    INDEX($B$2:$B$103,
          MAX(IF($A$2:$A8=2,ROW($A$2:$A8)-ROW($A$2)+1))
    )
    &amp; "."
    &amp;
    COUNTIF(
        INDEX($A$2:$A8,
              MAX(IF($A$2:$A8=2,ROW($A$2:$A8)-ROW($A$2)+1))
        ):$A8,
        3
    ),
IF($A8=4,
    INDEX($B$2:$B$103,
          MAX(IF($A$2:$A8=3,ROW($A$2:$A8)-ROW($A$2)+1))
    )
    &amp; "."
    &amp;
    COUNTIF(
        INDEX($A$2:$A8,
              MAX(IF($A$2:$A8=3,ROW($A$2:$A8)-ROW($A$2)+1))
        ):$A8,
        4
    ),
""))))</f>
        <v>2.3</v>
      </c>
      <c r="C8" s="27" t="s">
        <v>11</v>
      </c>
      <c r="D8" s="1" t="s">
        <v>202</v>
      </c>
      <c r="E8" s="1" t="s">
        <v>42</v>
      </c>
      <c r="F8" s="1" t="s">
        <v>6</v>
      </c>
      <c r="G8" s="27" t="s">
        <v>216</v>
      </c>
    </row>
    <row r="9" spans="1:7" ht="45" x14ac:dyDescent="0.25">
      <c r="A9" s="28">
        <v>2</v>
      </c>
      <c r="B9" s="1" t="str" cm="1">
        <f t="array" ref="B9">IF($A9=1,
    COUNTIF($A$2:$A9,1),
IF($A9=2,
    INDEX($B$2:$B$103,
          MAX(IF($A$2:$A9=1,ROW($A$2:$A9)-ROW($A$2)+1))
    )
    &amp; "."
    &amp;
    COUNTIF(
        INDEX($A$2:$A9,
              MAX(IF($A$2:$A9=1,ROW($A$2:$A9)-ROW($A$2)+1))
        ):$A9,
        2
    ),
IF($A9=3,
    INDEX($B$2:$B$103,
          MAX(IF($A$2:$A9=2,ROW($A$2:$A9)-ROW($A$2)+1))
    )
    &amp; "."
    &amp;
    COUNTIF(
        INDEX($A$2:$A9,
              MAX(IF($A$2:$A9=2,ROW($A$2:$A9)-ROW($A$2)+1))
        ):$A9,
        3
    ),
IF($A9=4,
    INDEX($B$2:$B$103,
          MAX(IF($A$2:$A9=3,ROW($A$2:$A9)-ROW($A$2)+1))
    )
    &amp; "."
    &amp;
    COUNTIF(
        INDEX($A$2:$A9,
              MAX(IF($A$2:$A9=3,ROW($A$2:$A9)-ROW($A$2)+1))
        ):$A9,
        4
    ),
""))))</f>
        <v>2.4</v>
      </c>
      <c r="C9" s="27" t="s">
        <v>217</v>
      </c>
      <c r="D9" s="1" t="s">
        <v>202</v>
      </c>
      <c r="E9" s="1" t="s">
        <v>42</v>
      </c>
      <c r="F9" s="1" t="s">
        <v>6</v>
      </c>
      <c r="G9" s="27" t="s">
        <v>218</v>
      </c>
    </row>
    <row r="10" spans="1:7" ht="45" x14ac:dyDescent="0.25">
      <c r="A10" s="28">
        <v>2</v>
      </c>
      <c r="B10" s="1" t="str" cm="1">
        <f t="array" ref="B10">IF($A10=1,
    COUNTIF($A$2:$A10,1),
IF($A10=2,
    INDEX($B$2:$B$103,
          MAX(IF($A$2:$A10=1,ROW($A$2:$A10)-ROW($A$2)+1))
    )
    &amp; "."
    &amp;
    COUNTIF(
        INDEX($A$2:$A10,
              MAX(IF($A$2:$A10=1,ROW($A$2:$A10)-ROW($A$2)+1))
        ):$A10,
        2
    ),
IF($A10=3,
    INDEX($B$2:$B$103,
          MAX(IF($A$2:$A10=2,ROW($A$2:$A10)-ROW($A$2)+1))
    )
    &amp; "."
    &amp;
    COUNTIF(
        INDEX($A$2:$A10,
              MAX(IF($A$2:$A10=2,ROW($A$2:$A10)-ROW($A$2)+1))
        ):$A10,
        3
    ),
IF($A10=4,
    INDEX($B$2:$B$103,
          MAX(IF($A$2:$A10=3,ROW($A$2:$A10)-ROW($A$2)+1))
    )
    &amp; "."
    &amp;
    COUNTIF(
        INDEX($A$2:$A10,
              MAX(IF($A$2:$A10=3,ROW($A$2:$A10)-ROW($A$2)+1))
        ):$A10,
        4
    ),
""))))</f>
        <v>2.5</v>
      </c>
      <c r="C10" s="27" t="s">
        <v>220</v>
      </c>
      <c r="D10" s="1" t="s">
        <v>202</v>
      </c>
      <c r="E10" s="1" t="s">
        <v>42</v>
      </c>
      <c r="F10" s="1" t="s">
        <v>6</v>
      </c>
      <c r="G10" s="27" t="s">
        <v>219</v>
      </c>
    </row>
    <row r="11" spans="1:7" ht="30" x14ac:dyDescent="0.25">
      <c r="A11" s="28">
        <v>2</v>
      </c>
      <c r="B11" s="1" t="str" cm="1">
        <f t="array" ref="B11">IF($A11=1,
    COUNTIF($A$2:$A11,1),
IF($A11=2,
    INDEX($B$2:$B$103,
          MAX(IF($A$2:$A11=1,ROW($A$2:$A11)-ROW($A$2)+1))
    )
    &amp; "."
    &amp;
    COUNTIF(
        INDEX($A$2:$A11,
              MAX(IF($A$2:$A11=1,ROW($A$2:$A11)-ROW($A$2)+1))
        ):$A11,
        2
    ),
IF($A11=3,
    INDEX($B$2:$B$103,
          MAX(IF($A$2:$A11=2,ROW($A$2:$A11)-ROW($A$2)+1))
    )
    &amp; "."
    &amp;
    COUNTIF(
        INDEX($A$2:$A11,
              MAX(IF($A$2:$A11=2,ROW($A$2:$A11)-ROW($A$2)+1))
        ):$A11,
        3
    ),
IF($A11=4,
    INDEX($B$2:$B$103,
          MAX(IF($A$2:$A11=3,ROW($A$2:$A11)-ROW($A$2)+1))
    )
    &amp; "."
    &amp;
    COUNTIF(
        INDEX($A$2:$A11,
              MAX(IF($A$2:$A11=3,ROW($A$2:$A11)-ROW($A$2)+1))
        ):$A11,
        4
    ),
""))))</f>
        <v>2.6</v>
      </c>
      <c r="C11" s="27" t="s">
        <v>221</v>
      </c>
      <c r="D11" s="1" t="s">
        <v>202</v>
      </c>
      <c r="E11" s="1" t="s">
        <v>42</v>
      </c>
      <c r="F11" s="1" t="s">
        <v>6</v>
      </c>
      <c r="G11" s="27" t="s">
        <v>222</v>
      </c>
    </row>
    <row r="12" spans="1:7" ht="105" x14ac:dyDescent="0.25">
      <c r="A12" s="28">
        <v>1</v>
      </c>
      <c r="B12" s="1" cm="1">
        <f t="array" ref="B12">IF($A12=1,
    COUNTIF($A$2:$A12,1),
IF($A12=2,
    INDEX($B$2:$B$103,
          MAX(IF($A$2:$A12=1,ROW($A$2:$A12)-ROW($A$2)+1))
    )
    &amp; "."
    &amp;
    COUNTIF(
        INDEX($A$2:$A12,
              MAX(IF($A$2:$A12=1,ROW($A$2:$A12)-ROW($A$2)+1))
        ):$A12,
        2
    ),
IF($A12=3,
    INDEX($B$2:$B$103,
          MAX(IF($A$2:$A12=2,ROW($A$2:$A12)-ROW($A$2)+1))
    )
    &amp; "."
    &amp;
    COUNTIF(
        INDEX($A$2:$A12,
              MAX(IF($A$2:$A12=2,ROW($A$2:$A12)-ROW($A$2)+1))
        ):$A12,
        3
    ),
IF($A12=4,
    INDEX($B$2:$B$103,
          MAX(IF($A$2:$A12=3,ROW($A$2:$A12)-ROW($A$2)+1))
    )
    &amp; "."
    &amp;
    COUNTIF(
        INDEX($A$2:$A12,
              MAX(IF($A$2:$A12=3,ROW($A$2:$A12)-ROW($A$2)+1))
        ):$A12,
        4
    ),
""))))</f>
        <v>3</v>
      </c>
      <c r="C12" s="27" t="s">
        <v>7</v>
      </c>
      <c r="D12" s="1" t="s">
        <v>202</v>
      </c>
      <c r="E12" s="1" t="s">
        <v>43</v>
      </c>
      <c r="F12" s="1" t="s">
        <v>7</v>
      </c>
      <c r="G12" s="27" t="s">
        <v>266</v>
      </c>
    </row>
    <row r="13" spans="1:7" ht="30" x14ac:dyDescent="0.25">
      <c r="A13" s="28">
        <v>2</v>
      </c>
      <c r="B13" s="1" t="str" cm="1">
        <f t="array" ref="B13">IF($A13=1,
    COUNTIF($A$2:$A13,1),
IF($A13=2,
    INDEX($B$2:$B$103,
          MAX(IF($A$2:$A13=1,ROW($A$2:$A13)-ROW($A$2)+1))
    )
    &amp; "."
    &amp;
    COUNTIF(
        INDEX($A$2:$A13,
              MAX(IF($A$2:$A13=1,ROW($A$2:$A13)-ROW($A$2)+1))
        ):$A13,
        2
    ),
IF($A13=3,
    INDEX($B$2:$B$103,
          MAX(IF($A$2:$A13=2,ROW($A$2:$A13)-ROW($A$2)+1))
    )
    &amp; "."
    &amp;
    COUNTIF(
        INDEX($A$2:$A13,
              MAX(IF($A$2:$A13=2,ROW($A$2:$A13)-ROW($A$2)+1))
        ):$A13,
        3
    ),
IF($A13=4,
    INDEX($B$2:$B$103,
          MAX(IF($A$2:$A13=3,ROW($A$2:$A13)-ROW($A$2)+1))
    )
    &amp; "."
    &amp;
    COUNTIF(
        INDEX($A$2:$A13,
              MAX(IF($A$2:$A13=3,ROW($A$2:$A13)-ROW($A$2)+1))
        ):$A13,
        4
    ),
""))))</f>
        <v>3.1</v>
      </c>
      <c r="C13" s="27" t="s">
        <v>224</v>
      </c>
      <c r="D13" s="1" t="s">
        <v>202</v>
      </c>
      <c r="E13" s="1" t="s">
        <v>43</v>
      </c>
      <c r="F13" s="1" t="s">
        <v>7</v>
      </c>
      <c r="G13" s="27" t="s">
        <v>267</v>
      </c>
    </row>
    <row r="14" spans="1:7" ht="45" x14ac:dyDescent="0.25">
      <c r="A14" s="28">
        <v>3</v>
      </c>
      <c r="B14" s="1" t="str" cm="1">
        <f t="array" ref="B14">IF($A14=1,
    COUNTIF($A$2:$A14,1),
IF($A14=2,
    INDEX($B$2:$B$103,
          MAX(IF($A$2:$A14=1,ROW($A$2:$A14)-ROW($A$2)+1))
    )
    &amp; "."
    &amp;
    COUNTIF(
        INDEX($A$2:$A14,
              MAX(IF($A$2:$A14=1,ROW($A$2:$A14)-ROW($A$2)+1))
        ):$A14,
        2
    ),
IF($A14=3,
    INDEX($B$2:$B$103,
          MAX(IF($A$2:$A14=2,ROW($A$2:$A14)-ROW($A$2)+1))
    )
    &amp; "."
    &amp;
    COUNTIF(
        INDEX($A$2:$A14,
              MAX(IF($A$2:$A14=2,ROW($A$2:$A14)-ROW($A$2)+1))
        ):$A14,
        3
    ),
IF($A14=4,
    INDEX($B$2:$B$103,
          MAX(IF($A$2:$A14=3,ROW($A$2:$A14)-ROW($A$2)+1))
    )
    &amp; "."
    &amp;
    COUNTIF(
        INDEX($A$2:$A14,
              MAX(IF($A$2:$A14=3,ROW($A$2:$A14)-ROW($A$2)+1))
        ):$A14,
        4
    ),
""))))</f>
        <v>3.1.1</v>
      </c>
      <c r="C14" s="27" t="s">
        <v>12</v>
      </c>
      <c r="D14" s="1" t="s">
        <v>202</v>
      </c>
      <c r="E14" s="1" t="s">
        <v>43</v>
      </c>
      <c r="F14" s="1" t="s">
        <v>7</v>
      </c>
      <c r="G14" s="27" t="s">
        <v>226</v>
      </c>
    </row>
    <row r="15" spans="1:7" ht="45" x14ac:dyDescent="0.25">
      <c r="A15" s="28">
        <v>3</v>
      </c>
      <c r="B15" s="1" t="str" cm="1">
        <f t="array" ref="B15">IF($A15=1,
    COUNTIF($A$2:$A15,1),
IF($A15=2,
    INDEX($B$2:$B$103,
          MAX(IF($A$2:$A15=1,ROW($A$2:$A15)-ROW($A$2)+1))
    )
    &amp; "."
    &amp;
    COUNTIF(
        INDEX($A$2:$A15,
              MAX(IF($A$2:$A15=1,ROW($A$2:$A15)-ROW($A$2)+1))
        ):$A15,
        2
    ),
IF($A15=3,
    INDEX($B$2:$B$103,
          MAX(IF($A$2:$A15=2,ROW($A$2:$A15)-ROW($A$2)+1))
    )
    &amp; "."
    &amp;
    COUNTIF(
        INDEX($A$2:$A15,
              MAX(IF($A$2:$A15=2,ROW($A$2:$A15)-ROW($A$2)+1))
        ):$A15,
        3
    ),
IF($A15=4,
    INDEX($B$2:$B$103,
          MAX(IF($A$2:$A15=3,ROW($A$2:$A15)-ROW($A$2)+1))
    )
    &amp; "."
    &amp;
    COUNTIF(
        INDEX($A$2:$A15,
              MAX(IF($A$2:$A15=3,ROW($A$2:$A15)-ROW($A$2)+1))
        ):$A15,
        4
    ),
""))))</f>
        <v>3.1.2</v>
      </c>
      <c r="C15" s="27" t="s">
        <v>13</v>
      </c>
      <c r="D15" s="1" t="s">
        <v>202</v>
      </c>
      <c r="E15" s="1" t="s">
        <v>43</v>
      </c>
      <c r="F15" s="1" t="s">
        <v>7</v>
      </c>
      <c r="G15" s="27" t="s">
        <v>227</v>
      </c>
    </row>
    <row r="16" spans="1:7" ht="45" x14ac:dyDescent="0.25">
      <c r="A16" s="28">
        <v>3</v>
      </c>
      <c r="B16" s="1" t="str" cm="1">
        <f t="array" ref="B16">IF($A16=1,
    COUNTIF($A$2:$A16,1),
IF($A16=2,
    INDEX($B$2:$B$103,
          MAX(IF($A$2:$A16=1,ROW($A$2:$A16)-ROW($A$2)+1))
    )
    &amp; "."
    &amp;
    COUNTIF(
        INDEX($A$2:$A16,
              MAX(IF($A$2:$A16=1,ROW($A$2:$A16)-ROW($A$2)+1))
        ):$A16,
        2
    ),
IF($A16=3,
    INDEX($B$2:$B$103,
          MAX(IF($A$2:$A16=2,ROW($A$2:$A16)-ROW($A$2)+1))
    )
    &amp; "."
    &amp;
    COUNTIF(
        INDEX($A$2:$A16,
              MAX(IF($A$2:$A16=2,ROW($A$2:$A16)-ROW($A$2)+1))
        ):$A16,
        3
    ),
IF($A16=4,
    INDEX($B$2:$B$103,
          MAX(IF($A$2:$A16=3,ROW($A$2:$A16)-ROW($A$2)+1))
    )
    &amp; "."
    &amp;
    COUNTIF(
        INDEX($A$2:$A16,
              MAX(IF($A$2:$A16=3,ROW($A$2:$A16)-ROW($A$2)+1))
        ):$A16,
        4
    ),
""))))</f>
        <v>3.1.3</v>
      </c>
      <c r="C16" s="27" t="s">
        <v>14</v>
      </c>
      <c r="D16" s="1" t="s">
        <v>202</v>
      </c>
      <c r="E16" s="1" t="s">
        <v>43</v>
      </c>
      <c r="F16" s="1" t="s">
        <v>7</v>
      </c>
      <c r="G16" s="27" t="s">
        <v>228</v>
      </c>
    </row>
    <row r="17" spans="1:7" ht="45" x14ac:dyDescent="0.25">
      <c r="A17" s="28">
        <v>3</v>
      </c>
      <c r="B17" s="1" t="str" cm="1">
        <f t="array" ref="B17">IF($A17=1,
    COUNTIF($A$2:$A17,1),
IF($A17=2,
    INDEX($B$2:$B$103,
          MAX(IF($A$2:$A17=1,ROW($A$2:$A17)-ROW($A$2)+1))
    )
    &amp; "."
    &amp;
    COUNTIF(
        INDEX($A$2:$A17,
              MAX(IF($A$2:$A17=1,ROW($A$2:$A17)-ROW($A$2)+1))
        ):$A17,
        2
    ),
IF($A17=3,
    INDEX($B$2:$B$103,
          MAX(IF($A$2:$A17=2,ROW($A$2:$A17)-ROW($A$2)+1))
    )
    &amp; "."
    &amp;
    COUNTIF(
        INDEX($A$2:$A17,
              MAX(IF($A$2:$A17=2,ROW($A$2:$A17)-ROW($A$2)+1))
        ):$A17,
        3
    ),
IF($A17=4,
    INDEX($B$2:$B$103,
          MAX(IF($A$2:$A17=3,ROW($A$2:$A17)-ROW($A$2)+1))
    )
    &amp; "."
    &amp;
    COUNTIF(
        INDEX($A$2:$A17,
              MAX(IF($A$2:$A17=3,ROW($A$2:$A17)-ROW($A$2)+1))
        ):$A17,
        4
    ),
""))))</f>
        <v>3.1.4</v>
      </c>
      <c r="C17" s="27" t="s">
        <v>15</v>
      </c>
      <c r="D17" s="1" t="s">
        <v>202</v>
      </c>
      <c r="E17" s="1" t="s">
        <v>43</v>
      </c>
      <c r="F17" s="1" t="s">
        <v>7</v>
      </c>
      <c r="G17" s="27" t="s">
        <v>229</v>
      </c>
    </row>
    <row r="18" spans="1:7" ht="60" x14ac:dyDescent="0.25">
      <c r="A18" s="28">
        <v>3</v>
      </c>
      <c r="B18" s="1" t="str" cm="1">
        <f t="array" ref="B18">IF($A18=1,
    COUNTIF($A$2:$A18,1),
IF($A18=2,
    INDEX($B$2:$B$103,
          MAX(IF($A$2:$A18=1,ROW($A$2:$A18)-ROW($A$2)+1))
    )
    &amp; "."
    &amp;
    COUNTIF(
        INDEX($A$2:$A18,
              MAX(IF($A$2:$A18=1,ROW($A$2:$A18)-ROW($A$2)+1))
        ):$A18,
        2
    ),
IF($A18=3,
    INDEX($B$2:$B$103,
          MAX(IF($A$2:$A18=2,ROW($A$2:$A18)-ROW($A$2)+1))
    )
    &amp; "."
    &amp;
    COUNTIF(
        INDEX($A$2:$A18,
              MAX(IF($A$2:$A18=2,ROW($A$2:$A18)-ROW($A$2)+1))
        ):$A18,
        3
    ),
IF($A18=4,
    INDEX($B$2:$B$103,
          MAX(IF($A$2:$A18=3,ROW($A$2:$A18)-ROW($A$2)+1))
    )
    &amp; "."
    &amp;
    COUNTIF(
        INDEX($A$2:$A18,
              MAX(IF($A$2:$A18=3,ROW($A$2:$A18)-ROW($A$2)+1))
        ):$A18,
        4
    ),
""))))</f>
        <v>3.1.5</v>
      </c>
      <c r="C18" s="27" t="s">
        <v>16</v>
      </c>
      <c r="D18" s="1" t="s">
        <v>202</v>
      </c>
      <c r="E18" s="1" t="s">
        <v>43</v>
      </c>
      <c r="F18" s="1" t="s">
        <v>7</v>
      </c>
      <c r="G18" s="27" t="s">
        <v>230</v>
      </c>
    </row>
    <row r="19" spans="1:7" ht="45" x14ac:dyDescent="0.25">
      <c r="A19" s="28">
        <v>3</v>
      </c>
      <c r="B19" s="1" t="str" cm="1">
        <f t="array" ref="B19">IF($A19=1,
    COUNTIF($A$2:$A19,1),
IF($A19=2,
    INDEX($B$2:$B$103,
          MAX(IF($A$2:$A19=1,ROW($A$2:$A19)-ROW($A$2)+1))
    )
    &amp; "."
    &amp;
    COUNTIF(
        INDEX($A$2:$A19,
              MAX(IF($A$2:$A19=1,ROW($A$2:$A19)-ROW($A$2)+1))
        ):$A19,
        2
    ),
IF($A19=3,
    INDEX($B$2:$B$103,
          MAX(IF($A$2:$A19=2,ROW($A$2:$A19)-ROW($A$2)+1))
    )
    &amp; "."
    &amp;
    COUNTIF(
        INDEX($A$2:$A19,
              MAX(IF($A$2:$A19=2,ROW($A$2:$A19)-ROW($A$2)+1))
        ):$A19,
        3
    ),
IF($A19=4,
    INDEX($B$2:$B$103,
          MAX(IF($A$2:$A19=3,ROW($A$2:$A19)-ROW($A$2)+1))
    )
    &amp; "."
    &amp;
    COUNTIF(
        INDEX($A$2:$A19,
              MAX(IF($A$2:$A19=3,ROW($A$2:$A19)-ROW($A$2)+1))
        ):$A19,
        4
    ),
""))))</f>
        <v>3.1.6</v>
      </c>
      <c r="C19" s="27" t="s">
        <v>17</v>
      </c>
      <c r="D19" s="1" t="s">
        <v>202</v>
      </c>
      <c r="E19" s="1" t="s">
        <v>43</v>
      </c>
      <c r="F19" s="1" t="s">
        <v>7</v>
      </c>
      <c r="G19" s="27" t="s">
        <v>231</v>
      </c>
    </row>
    <row r="20" spans="1:7" ht="60" x14ac:dyDescent="0.25">
      <c r="A20" s="28">
        <v>3</v>
      </c>
      <c r="B20" s="1" t="str" cm="1">
        <f t="array" ref="B20">IF($A20=1,
    COUNTIF($A$2:$A20,1),
IF($A20=2,
    INDEX($B$2:$B$103,
          MAX(IF($A$2:$A20=1,ROW($A$2:$A20)-ROW($A$2)+1))
    )
    &amp; "."
    &amp;
    COUNTIF(
        INDEX($A$2:$A20,
              MAX(IF($A$2:$A20=1,ROW($A$2:$A20)-ROW($A$2)+1))
        ):$A20,
        2
    ),
IF($A20=3,
    INDEX($B$2:$B$103,
          MAX(IF($A$2:$A20=2,ROW($A$2:$A20)-ROW($A$2)+1))
    )
    &amp; "."
    &amp;
    COUNTIF(
        INDEX($A$2:$A20,
              MAX(IF($A$2:$A20=2,ROW($A$2:$A20)-ROW($A$2)+1))
        ):$A20,
        3
    ),
IF($A20=4,
    INDEX($B$2:$B$103,
          MAX(IF($A$2:$A20=3,ROW($A$2:$A20)-ROW($A$2)+1))
    )
    &amp; "."
    &amp;
    COUNTIF(
        INDEX($A$2:$A20,
              MAX(IF($A$2:$A20=3,ROW($A$2:$A20)-ROW($A$2)+1))
        ):$A20,
        4
    ),
""))))</f>
        <v>3.1.7</v>
      </c>
      <c r="C20" s="27" t="s">
        <v>18</v>
      </c>
      <c r="D20" s="1" t="s">
        <v>202</v>
      </c>
      <c r="E20" s="1" t="s">
        <v>43</v>
      </c>
      <c r="F20" s="1" t="s">
        <v>7</v>
      </c>
      <c r="G20" s="27" t="s">
        <v>233</v>
      </c>
    </row>
    <row r="21" spans="1:7" ht="30" x14ac:dyDescent="0.25">
      <c r="A21" s="28">
        <v>3</v>
      </c>
      <c r="B21" s="1" t="str" cm="1">
        <f t="array" ref="B21">IF($A21=1,
    COUNTIF($A$2:$A21,1),
IF($A21=2,
    INDEX($B$2:$B$103,
          MAX(IF($A$2:$A21=1,ROW($A$2:$A21)-ROW($A$2)+1))
    )
    &amp; "."
    &amp;
    COUNTIF(
        INDEX($A$2:$A21,
              MAX(IF($A$2:$A21=1,ROW($A$2:$A21)-ROW($A$2)+1))
        ):$A21,
        2
    ),
IF($A21=3,
    INDEX($B$2:$B$103,
          MAX(IF($A$2:$A21=2,ROW($A$2:$A21)-ROW($A$2)+1))
    )
    &amp; "."
    &amp;
    COUNTIF(
        INDEX($A$2:$A21,
              MAX(IF($A$2:$A21=2,ROW($A$2:$A21)-ROW($A$2)+1))
        ):$A21,
        3
    ),
IF($A21=4,
    INDEX($B$2:$B$103,
          MAX(IF($A$2:$A21=3,ROW($A$2:$A21)-ROW($A$2)+1))
    )
    &amp; "."
    &amp;
    COUNTIF(
        INDEX($A$2:$A21,
              MAX(IF($A$2:$A21=3,ROW($A$2:$A21)-ROW($A$2)+1))
        ):$A21,
        4
    ),
""))))</f>
        <v>3.1.8</v>
      </c>
      <c r="C21" s="27" t="s">
        <v>232</v>
      </c>
      <c r="D21" s="1" t="s">
        <v>202</v>
      </c>
      <c r="E21" s="1" t="s">
        <v>43</v>
      </c>
      <c r="F21" s="1" t="s">
        <v>7</v>
      </c>
      <c r="G21" s="27" t="s">
        <v>244</v>
      </c>
    </row>
    <row r="22" spans="1:7" ht="60" x14ac:dyDescent="0.25">
      <c r="A22" s="28">
        <v>4</v>
      </c>
      <c r="B22" s="1" t="str" cm="1">
        <f t="array" ref="B22">IF($A22=1,
    COUNTIF($A$2:$A22,1),
IF($A22=2,
    INDEX($B$2:$B$103,
          MAX(IF($A$2:$A22=1,ROW($A$2:$A22)-ROW($A$2)+1))
    )
    &amp; "."
    &amp;
    COUNTIF(
        INDEX($A$2:$A22,
              MAX(IF($A$2:$A22=1,ROW($A$2:$A22)-ROW($A$2)+1))
        ):$A22,
        2
    ),
IF($A22=3,
    INDEX($B$2:$B$103,
          MAX(IF($A$2:$A22=2,ROW($A$2:$A22)-ROW($A$2)+1))
    )
    &amp; "."
    &amp;
    COUNTIF(
        INDEX($A$2:$A22,
              MAX(IF($A$2:$A22=2,ROW($A$2:$A22)-ROW($A$2)+1))
        ):$A22,
        3
    ),
IF($A22=4,
    INDEX($B$2:$B$103,
          MAX(IF($A$2:$A22=3,ROW($A$2:$A22)-ROW($A$2)+1))
    )
    &amp; "."
    &amp;
    COUNTIF(
        INDEX($A$2:$A22,
              MAX(IF($A$2:$A22=3,ROW($A$2:$A22)-ROW($A$2)+1))
        ):$A22,
        4
    ),
""))))</f>
        <v>3.1.8.1</v>
      </c>
      <c r="C22" s="27" t="s">
        <v>19</v>
      </c>
      <c r="D22" s="1" t="s">
        <v>202</v>
      </c>
      <c r="E22" s="1" t="s">
        <v>43</v>
      </c>
      <c r="F22" s="1" t="s">
        <v>7</v>
      </c>
      <c r="G22" s="27" t="s">
        <v>234</v>
      </c>
    </row>
    <row r="23" spans="1:7" ht="45" x14ac:dyDescent="0.25">
      <c r="A23" s="28">
        <v>4</v>
      </c>
      <c r="B23" s="1" t="str" cm="1">
        <f t="array" ref="B23">IF($A23=1,
    COUNTIF($A$2:$A23,1),
IF($A23=2,
    INDEX($B$2:$B$103,
          MAX(IF($A$2:$A23=1,ROW($A$2:$A23)-ROW($A$2)+1))
    )
    &amp; "."
    &amp;
    COUNTIF(
        INDEX($A$2:$A23,
              MAX(IF($A$2:$A23=1,ROW($A$2:$A23)-ROW($A$2)+1))
        ):$A23,
        2
    ),
IF($A23=3,
    INDEX($B$2:$B$103,
          MAX(IF($A$2:$A23=2,ROW($A$2:$A23)-ROW($A$2)+1))
    )
    &amp; "."
    &amp;
    COUNTIF(
        INDEX($A$2:$A23,
              MAX(IF($A$2:$A23=2,ROW($A$2:$A23)-ROW($A$2)+1))
        ):$A23,
        3
    ),
IF($A23=4,
    INDEX($B$2:$B$103,
          MAX(IF($A$2:$A23=3,ROW($A$2:$A23)-ROW($A$2)+1))
    )
    &amp; "."
    &amp;
    COUNTIF(
        INDEX($A$2:$A23,
              MAX(IF($A$2:$A23=3,ROW($A$2:$A23)-ROW($A$2)+1))
        ):$A23,
        4
    ),
""))))</f>
        <v>3.1.8.2</v>
      </c>
      <c r="C23" s="27" t="s">
        <v>20</v>
      </c>
      <c r="D23" s="1" t="s">
        <v>202</v>
      </c>
      <c r="E23" s="1" t="s">
        <v>43</v>
      </c>
      <c r="F23" s="1" t="s">
        <v>7</v>
      </c>
      <c r="G23" s="27" t="s">
        <v>236</v>
      </c>
    </row>
    <row r="24" spans="1:7" ht="90" x14ac:dyDescent="0.25">
      <c r="A24" s="28">
        <v>4</v>
      </c>
      <c r="B24" s="1" t="str" cm="1">
        <f t="array" ref="B24">IF($A24=1,
    COUNTIF($A$2:$A24,1),
IF($A24=2,
    INDEX($B$2:$B$103,
          MAX(IF($A$2:$A24=1,ROW($A$2:$A24)-ROW($A$2)+1))
    )
    &amp; "."
    &amp;
    COUNTIF(
        INDEX($A$2:$A24,
              MAX(IF($A$2:$A24=1,ROW($A$2:$A24)-ROW($A$2)+1))
        ):$A24,
        2
    ),
IF($A24=3,
    INDEX($B$2:$B$103,
          MAX(IF($A$2:$A24=2,ROW($A$2:$A24)-ROW($A$2)+1))
    )
    &amp; "."
    &amp;
    COUNTIF(
        INDEX($A$2:$A24,
              MAX(IF($A$2:$A24=2,ROW($A$2:$A24)-ROW($A$2)+1))
        ):$A24,
        3
    ),
IF($A24=4,
    INDEX($B$2:$B$103,
          MAX(IF($A$2:$A24=3,ROW($A$2:$A24)-ROW($A$2)+1))
    )
    &amp; "."
    &amp;
    COUNTIF(
        INDEX($A$2:$A24,
              MAX(IF($A$2:$A24=3,ROW($A$2:$A24)-ROW($A$2)+1))
        ):$A24,
        4
    ),
""))))</f>
        <v>3.1.8.3</v>
      </c>
      <c r="C24" s="27" t="s">
        <v>21</v>
      </c>
      <c r="D24" s="1" t="s">
        <v>202</v>
      </c>
      <c r="E24" s="1" t="s">
        <v>43</v>
      </c>
      <c r="F24" s="1" t="s">
        <v>7</v>
      </c>
      <c r="G24" s="27" t="s">
        <v>235</v>
      </c>
    </row>
    <row r="25" spans="1:7" ht="30" x14ac:dyDescent="0.25">
      <c r="A25" s="28">
        <v>3</v>
      </c>
      <c r="B25" s="1" t="str" cm="1">
        <f t="array" ref="B25">IF($A25=1,
    COUNTIF($A$2:$A25,1),
IF($A25=2,
    INDEX($B$2:$B$103,
          MAX(IF($A$2:$A25=1,ROW($A$2:$A25)-ROW($A$2)+1))
    )
    &amp; "."
    &amp;
    COUNTIF(
        INDEX($A$2:$A25,
              MAX(IF($A$2:$A25=1,ROW($A$2:$A25)-ROW($A$2)+1))
        ):$A25,
        2
    ),
IF($A25=3,
    INDEX($B$2:$B$103,
          MAX(IF($A$2:$A25=2,ROW($A$2:$A25)-ROW($A$2)+1))
    )
    &amp; "."
    &amp;
    COUNTIF(
        INDEX($A$2:$A25,
              MAX(IF($A$2:$A25=2,ROW($A$2:$A25)-ROW($A$2)+1))
        ):$A25,
        3
    ),
IF($A25=4,
    INDEX($B$2:$B$103,
          MAX(IF($A$2:$A25=3,ROW($A$2:$A25)-ROW($A$2)+1))
    )
    &amp; "."
    &amp;
    COUNTIF(
        INDEX($A$2:$A25,
              MAX(IF($A$2:$A25=3,ROW($A$2:$A25)-ROW($A$2)+1))
        ):$A25,
        4
    ),
""))))</f>
        <v>3.1.9</v>
      </c>
      <c r="C25" s="27" t="s">
        <v>241</v>
      </c>
      <c r="D25" s="1" t="s">
        <v>202</v>
      </c>
      <c r="E25" s="1" t="s">
        <v>43</v>
      </c>
      <c r="F25" s="1" t="s">
        <v>7</v>
      </c>
      <c r="G25" s="27" t="s">
        <v>242</v>
      </c>
    </row>
    <row r="26" spans="1:7" ht="45" x14ac:dyDescent="0.25">
      <c r="A26" s="28">
        <v>3</v>
      </c>
      <c r="B26" s="1" t="str" cm="1">
        <f t="array" ref="B26">IF($A26=1,
    COUNTIF($A$2:$A26,1),
IF($A26=2,
    INDEX($B$2:$B$103,
          MAX(IF($A$2:$A26=1,ROW($A$2:$A26)-ROW($A$2)+1))
    )
    &amp; "."
    &amp;
    COUNTIF(
        INDEX($A$2:$A26,
              MAX(IF($A$2:$A26=1,ROW($A$2:$A26)-ROW($A$2)+1))
        ):$A26,
        2
    ),
IF($A26=3,
    INDEX($B$2:$B$103,
          MAX(IF($A$2:$A26=2,ROW($A$2:$A26)-ROW($A$2)+1))
    )
    &amp; "."
    &amp;
    COUNTIF(
        INDEX($A$2:$A26,
              MAX(IF($A$2:$A26=2,ROW($A$2:$A26)-ROW($A$2)+1))
        ):$A26,
        3
    ),
IF($A26=4,
    INDEX($B$2:$B$103,
          MAX(IF($A$2:$A26=3,ROW($A$2:$A26)-ROW($A$2)+1))
    )
    &amp; "."
    &amp;
    COUNTIF(
        INDEX($A$2:$A26,
              MAX(IF($A$2:$A26=3,ROW($A$2:$A26)-ROW($A$2)+1))
        ):$A26,
        4
    ),
""))))</f>
        <v>3.1.10</v>
      </c>
      <c r="C26" s="27" t="s">
        <v>240</v>
      </c>
      <c r="D26" s="1" t="s">
        <v>202</v>
      </c>
      <c r="E26" s="1" t="s">
        <v>43</v>
      </c>
      <c r="F26" s="1" t="s">
        <v>7</v>
      </c>
      <c r="G26" s="27" t="s">
        <v>243</v>
      </c>
    </row>
    <row r="27" spans="1:7" ht="30" x14ac:dyDescent="0.25">
      <c r="A27" s="28">
        <v>2</v>
      </c>
      <c r="B27" s="1" t="str" cm="1">
        <f t="array" ref="B27">IF($A27=1,
    COUNTIF($A$2:$A27,1),
IF($A27=2,
    INDEX($B$2:$B$103,
          MAX(IF($A$2:$A27=1,ROW($A$2:$A27)-ROW($A$2)+1))
    )
    &amp; "."
    &amp;
    COUNTIF(
        INDEX($A$2:$A27,
              MAX(IF($A$2:$A27=1,ROW($A$2:$A27)-ROW($A$2)+1))
        ):$A27,
        2
    ),
IF($A27=3,
    INDEX($B$2:$B$103,
          MAX(IF($A$2:$A27=2,ROW($A$2:$A27)-ROW($A$2)+1))
    )
    &amp; "."
    &amp;
    COUNTIF(
        INDEX($A$2:$A27,
              MAX(IF($A$2:$A27=2,ROW($A$2:$A27)-ROW($A$2)+1))
        ):$A27,
        3
    ),
IF($A27=4,
    INDEX($B$2:$B$103,
          MAX(IF($A$2:$A27=3,ROW($A$2:$A27)-ROW($A$2)+1))
    )
    &amp; "."
    &amp;
    COUNTIF(
        INDEX($A$2:$A27,
              MAX(IF($A$2:$A27=3,ROW($A$2:$A27)-ROW($A$2)+1))
        ):$A27,
        4
    ),
""))))</f>
        <v>3.2</v>
      </c>
      <c r="C27" s="27" t="s">
        <v>223</v>
      </c>
      <c r="D27" s="1" t="s">
        <v>202</v>
      </c>
      <c r="E27" s="1" t="s">
        <v>43</v>
      </c>
      <c r="F27" s="1" t="s">
        <v>7</v>
      </c>
      <c r="G27" s="27" t="s">
        <v>206</v>
      </c>
    </row>
    <row r="28" spans="1:7" ht="60" x14ac:dyDescent="0.25">
      <c r="A28" s="28">
        <v>3</v>
      </c>
      <c r="B28" s="1" t="str" cm="1">
        <f t="array" ref="B28">IF($A28=1,
    COUNTIF($A$2:$A28,1),
IF($A28=2,
    INDEX($B$2:$B$103,
          MAX(IF($A$2:$A28=1,ROW($A$2:$A28)-ROW($A$2)+1))
    )
    &amp; "."
    &amp;
    COUNTIF(
        INDEX($A$2:$A28,
              MAX(IF($A$2:$A28=1,ROW($A$2:$A28)-ROW($A$2)+1))
        ):$A28,
        2
    ),
IF($A28=3,
    INDEX($B$2:$B$103,
          MAX(IF($A$2:$A28=2,ROW($A$2:$A28)-ROW($A$2)+1))
    )
    &amp; "."
    &amp;
    COUNTIF(
        INDEX($A$2:$A28,
              MAX(IF($A$2:$A28=2,ROW($A$2:$A28)-ROW($A$2)+1))
        ):$A28,
        3
    ),
IF($A28=4,
    INDEX($B$2:$B$103,
          MAX(IF($A$2:$A28=3,ROW($A$2:$A28)-ROW($A$2)+1))
    )
    &amp; "."
    &amp;
    COUNTIF(
        INDEX($A$2:$A28,
              MAX(IF($A$2:$A28=3,ROW($A$2:$A28)-ROW($A$2)+1))
        ):$A28,
        4
    ),
""))))</f>
        <v>3.2.1</v>
      </c>
      <c r="C28" s="27" t="s">
        <v>205</v>
      </c>
      <c r="D28" s="1" t="s">
        <v>202</v>
      </c>
      <c r="E28" s="1" t="s">
        <v>43</v>
      </c>
      <c r="F28" s="1" t="s">
        <v>7</v>
      </c>
      <c r="G28" s="27" t="s">
        <v>245</v>
      </c>
    </row>
    <row r="29" spans="1:7" ht="45" x14ac:dyDescent="0.25">
      <c r="A29" s="28">
        <v>3</v>
      </c>
      <c r="B29" s="1" t="str" cm="1">
        <f t="array" ref="B29">IF($A29=1,
    COUNTIF($A$2:$A29,1),
IF($A29=2,
    INDEX($B$2:$B$103,
          MAX(IF($A$2:$A29=1,ROW($A$2:$A29)-ROW($A$2)+1))
    )
    &amp; "."
    &amp;
    COUNTIF(
        INDEX($A$2:$A29,
              MAX(IF($A$2:$A29=1,ROW($A$2:$A29)-ROW($A$2)+1))
        ):$A29,
        2
    ),
IF($A29=3,
    INDEX($B$2:$B$103,
          MAX(IF($A$2:$A29=2,ROW($A$2:$A29)-ROW($A$2)+1))
    )
    &amp; "."
    &amp;
    COUNTIF(
        INDEX($A$2:$A29,
              MAX(IF($A$2:$A29=2,ROW($A$2:$A29)-ROW($A$2)+1))
        ):$A29,
        3
    ),
IF($A29=4,
    INDEX($B$2:$B$103,
          MAX(IF($A$2:$A29=3,ROW($A$2:$A29)-ROW($A$2)+1))
    )
    &amp; "."
    &amp;
    COUNTIF(
        INDEX($A$2:$A29,
              MAX(IF($A$2:$A29=3,ROW($A$2:$A29)-ROW($A$2)+1))
        ):$A29,
        4
    ),
""))))</f>
        <v>3.2.2</v>
      </c>
      <c r="C29" s="27" t="s">
        <v>237</v>
      </c>
      <c r="D29" s="1" t="s">
        <v>202</v>
      </c>
      <c r="E29" s="1" t="s">
        <v>43</v>
      </c>
      <c r="F29" s="1" t="s">
        <v>7</v>
      </c>
      <c r="G29" s="27" t="s">
        <v>246</v>
      </c>
    </row>
    <row r="30" spans="1:7" ht="45" x14ac:dyDescent="0.25">
      <c r="A30" s="28">
        <v>3</v>
      </c>
      <c r="B30" s="1" t="str" cm="1">
        <f t="array" ref="B30">IF($A30=1,
    COUNTIF($A$2:$A30,1),
IF($A30=2,
    INDEX($B$2:$B$103,
          MAX(IF($A$2:$A30=1,ROW($A$2:$A30)-ROW($A$2)+1))
    )
    &amp; "."
    &amp;
    COUNTIF(
        INDEX($A$2:$A30,
              MAX(IF($A$2:$A30=1,ROW($A$2:$A30)-ROW($A$2)+1))
        ):$A30,
        2
    ),
IF($A30=3,
    INDEX($B$2:$B$103,
          MAX(IF($A$2:$A30=2,ROW($A$2:$A30)-ROW($A$2)+1))
    )
    &amp; "."
    &amp;
    COUNTIF(
        INDEX($A$2:$A30,
              MAX(IF($A$2:$A30=2,ROW($A$2:$A30)-ROW($A$2)+1))
        ):$A30,
        3
    ),
IF($A30=4,
    INDEX($B$2:$B$103,
          MAX(IF($A$2:$A30=3,ROW($A$2:$A30)-ROW($A$2)+1))
    )
    &amp; "."
    &amp;
    COUNTIF(
        INDEX($A$2:$A30,
              MAX(IF($A$2:$A30=3,ROW($A$2:$A30)-ROW($A$2)+1))
        ):$A30,
        4
    ),
""))))</f>
        <v>3.2.3</v>
      </c>
      <c r="C30" s="27" t="s">
        <v>238</v>
      </c>
      <c r="D30" s="1" t="s">
        <v>202</v>
      </c>
      <c r="E30" s="1" t="s">
        <v>43</v>
      </c>
      <c r="F30" s="1" t="s">
        <v>7</v>
      </c>
      <c r="G30" s="27" t="s">
        <v>247</v>
      </c>
    </row>
    <row r="31" spans="1:7" ht="90" x14ac:dyDescent="0.25">
      <c r="A31" s="28">
        <v>3</v>
      </c>
      <c r="B31" s="1" t="str" cm="1">
        <f t="array" ref="B31">IF($A31=1,
    COUNTIF($A$2:$A31,1),
IF($A31=2,
    INDEX($B$2:$B$103,
          MAX(IF($A$2:$A31=1,ROW($A$2:$A31)-ROW($A$2)+1))
    )
    &amp; "."
    &amp;
    COUNTIF(
        INDEX($A$2:$A31,
              MAX(IF($A$2:$A31=1,ROW($A$2:$A31)-ROW($A$2)+1))
        ):$A31,
        2
    ),
IF($A31=3,
    INDEX($B$2:$B$103,
          MAX(IF($A$2:$A31=2,ROW($A$2:$A31)-ROW($A$2)+1))
    )
    &amp; "."
    &amp;
    COUNTIF(
        INDEX($A$2:$A31,
              MAX(IF($A$2:$A31=2,ROW($A$2:$A31)-ROW($A$2)+1))
        ):$A31,
        3
    ),
IF($A31=4,
    INDEX($B$2:$B$103,
          MAX(IF($A$2:$A31=3,ROW($A$2:$A31)-ROW($A$2)+1))
    )
    &amp; "."
    &amp;
    COUNTIF(
        INDEX($A$2:$A31,
              MAX(IF($A$2:$A31=3,ROW($A$2:$A31)-ROW($A$2)+1))
        ):$A31,
        4
    ),
""))))</f>
        <v>3.2.4</v>
      </c>
      <c r="C31" s="27" t="s">
        <v>343</v>
      </c>
      <c r="D31" s="1" t="s">
        <v>202</v>
      </c>
      <c r="E31" s="1" t="s">
        <v>43</v>
      </c>
      <c r="F31" s="1" t="s">
        <v>7</v>
      </c>
      <c r="G31" s="27" t="s">
        <v>342</v>
      </c>
    </row>
    <row r="32" spans="1:7" ht="60" x14ac:dyDescent="0.25">
      <c r="A32" s="28">
        <v>2</v>
      </c>
      <c r="B32" s="1" t="str" cm="1">
        <f t="array" ref="B32">IF($A32=1,
    COUNTIF($A$2:$A32,1),
IF($A32=2,
    INDEX($B$2:$B$103,
          MAX(IF($A$2:$A32=1,ROW($A$2:$A32)-ROW($A$2)+1))
    )
    &amp; "."
    &amp;
    COUNTIF(
        INDEX($A$2:$A32,
              MAX(IF($A$2:$A32=1,ROW($A$2:$A32)-ROW($A$2)+1))
        ):$A32,
        2
    ),
IF($A32=3,
    INDEX($B$2:$B$103,
          MAX(IF($A$2:$A32=2,ROW($A$2:$A32)-ROW($A$2)+1))
    )
    &amp; "."
    &amp;
    COUNTIF(
        INDEX($A$2:$A32,
              MAX(IF($A$2:$A32=2,ROW($A$2:$A32)-ROW($A$2)+1))
        ):$A32,
        3
    ),
IF($A32=4,
    INDEX($B$2:$B$103,
          MAX(IF($A$2:$A32=3,ROW($A$2:$A32)-ROW($A$2)+1))
    )
    &amp; "."
    &amp;
    COUNTIF(
        INDEX($A$2:$A32,
              MAX(IF($A$2:$A32=3,ROW($A$2:$A32)-ROW($A$2)+1))
        ):$A32,
        4
    ),
""))))</f>
        <v>3.3</v>
      </c>
      <c r="C32" s="27" t="s">
        <v>239</v>
      </c>
      <c r="D32" s="1" t="s">
        <v>202</v>
      </c>
      <c r="E32" s="1" t="s">
        <v>43</v>
      </c>
      <c r="F32" s="1" t="s">
        <v>7</v>
      </c>
      <c r="G32" s="27" t="s">
        <v>353</v>
      </c>
    </row>
    <row r="33" spans="1:7" ht="75" x14ac:dyDescent="0.25">
      <c r="A33" s="28">
        <v>3</v>
      </c>
      <c r="B33" s="1" t="str" cm="1">
        <f t="array" ref="B33">IF($A33=1,
    COUNTIF($A$2:$A33,1),
IF($A33=2,
    INDEX($B$2:$B$103,
          MAX(IF($A$2:$A33=1,ROW($A$2:$A33)-ROW($A$2)+1))
    )
    &amp; "."
    &amp;
    COUNTIF(
        INDEX($A$2:$A33,
              MAX(IF($A$2:$A33=1,ROW($A$2:$A33)-ROW($A$2)+1))
        ):$A33,
        2
    ),
IF($A33=3,
    INDEX($B$2:$B$103,
          MAX(IF($A$2:$A33=2,ROW($A$2:$A33)-ROW($A$2)+1))
    )
    &amp; "."
    &amp;
    COUNTIF(
        INDEX($A$2:$A33,
              MAX(IF($A$2:$A33=2,ROW($A$2:$A33)-ROW($A$2)+1))
        ):$A33,
        3
    ),
IF($A33=4,
    INDEX($B$2:$B$103,
          MAX(IF($A$2:$A33=3,ROW($A$2:$A33)-ROW($A$2)+1))
    )
    &amp; "."
    &amp;
    COUNTIF(
        INDEX($A$2:$A33,
              MAX(IF($A$2:$A33=3,ROW($A$2:$A33)-ROW($A$2)+1))
        ):$A33,
        4
    ),
""))))</f>
        <v>3.3.1</v>
      </c>
      <c r="C33" s="27" t="s">
        <v>30</v>
      </c>
      <c r="D33" s="1" t="s">
        <v>202</v>
      </c>
      <c r="E33" s="1" t="s">
        <v>43</v>
      </c>
      <c r="F33" s="1" t="s">
        <v>7</v>
      </c>
      <c r="G33" s="27" t="s">
        <v>248</v>
      </c>
    </row>
    <row r="34" spans="1:7" ht="75" x14ac:dyDescent="0.25">
      <c r="A34" s="28">
        <v>3</v>
      </c>
      <c r="B34" s="1" t="str" cm="1">
        <f t="array" ref="B34">IF($A34=1,
    COUNTIF($A$2:$A34,1),
IF($A34=2,
    INDEX($B$2:$B$103,
          MAX(IF($A$2:$A34=1,ROW($A$2:$A34)-ROW($A$2)+1))
    )
    &amp; "."
    &amp;
    COUNTIF(
        INDEX($A$2:$A34,
              MAX(IF($A$2:$A34=1,ROW($A$2:$A34)-ROW($A$2)+1))
        ):$A34,
        2
    ),
IF($A34=3,
    INDEX($B$2:$B$103,
          MAX(IF($A$2:$A34=2,ROW($A$2:$A34)-ROW($A$2)+1))
    )
    &amp; "."
    &amp;
    COUNTIF(
        INDEX($A$2:$A34,
              MAX(IF($A$2:$A34=2,ROW($A$2:$A34)-ROW($A$2)+1))
        ):$A34,
        3
    ),
IF($A34=4,
    INDEX($B$2:$B$103,
          MAX(IF($A$2:$A34=3,ROW($A$2:$A34)-ROW($A$2)+1))
    )
    &amp; "."
    &amp;
    COUNTIF(
        INDEX($A$2:$A34,
              MAX(IF($A$2:$A34=3,ROW($A$2:$A34)-ROW($A$2)+1))
        ):$A34,
        4
    ),
""))))</f>
        <v>3.3.2</v>
      </c>
      <c r="C34" s="27" t="s">
        <v>31</v>
      </c>
      <c r="D34" s="1" t="s">
        <v>202</v>
      </c>
      <c r="E34" s="1" t="s">
        <v>43</v>
      </c>
      <c r="F34" s="1" t="s">
        <v>7</v>
      </c>
      <c r="G34" s="27" t="s">
        <v>249</v>
      </c>
    </row>
    <row r="35" spans="1:7" ht="90" x14ac:dyDescent="0.25">
      <c r="A35" s="28">
        <v>3</v>
      </c>
      <c r="B35" s="1" t="str" cm="1">
        <f t="array" ref="B35">IF($A35=1,
    COUNTIF($A$2:$A35,1),
IF($A35=2,
    INDEX($B$2:$B$103,
          MAX(IF($A$2:$A35=1,ROW($A$2:$A35)-ROW($A$2)+1))
    )
    &amp; "."
    &amp;
    COUNTIF(
        INDEX($A$2:$A35,
              MAX(IF($A$2:$A35=1,ROW($A$2:$A35)-ROW($A$2)+1))
        ):$A35,
        2
    ),
IF($A35=3,
    INDEX($B$2:$B$103,
          MAX(IF($A$2:$A35=2,ROW($A$2:$A35)-ROW($A$2)+1))
    )
    &amp; "."
    &amp;
    COUNTIF(
        INDEX($A$2:$A35,
              MAX(IF($A$2:$A35=2,ROW($A$2:$A35)-ROW($A$2)+1))
        ):$A35,
        3
    ),
IF($A35=4,
    INDEX($B$2:$B$103,
          MAX(IF($A$2:$A35=3,ROW($A$2:$A35)-ROW($A$2)+1))
    )
    &amp; "."
    &amp;
    COUNTIF(
        INDEX($A$2:$A35,
              MAX(IF($A$2:$A35=3,ROW($A$2:$A35)-ROW($A$2)+1))
        ):$A35,
        4
    ),
""))))</f>
        <v>3.3.3</v>
      </c>
      <c r="C35" s="27" t="s">
        <v>32</v>
      </c>
      <c r="D35" s="1" t="s">
        <v>202</v>
      </c>
      <c r="E35" s="1" t="s">
        <v>43</v>
      </c>
      <c r="F35" s="1" t="s">
        <v>7</v>
      </c>
      <c r="G35" s="27" t="s">
        <v>250</v>
      </c>
    </row>
    <row r="36" spans="1:7" ht="90" x14ac:dyDescent="0.25">
      <c r="A36" s="28">
        <v>3</v>
      </c>
      <c r="B36" s="1" t="str" cm="1">
        <f t="array" ref="B36">IF($A36=1,
    COUNTIF($A$2:$A36,1),
IF($A36=2,
    INDEX($B$2:$B$103,
          MAX(IF($A$2:$A36=1,ROW($A$2:$A36)-ROW($A$2)+1))
    )
    &amp; "."
    &amp;
    COUNTIF(
        INDEX($A$2:$A36,
              MAX(IF($A$2:$A36=1,ROW($A$2:$A36)-ROW($A$2)+1))
        ):$A36,
        2
    ),
IF($A36=3,
    INDEX($B$2:$B$103,
          MAX(IF($A$2:$A36=2,ROW($A$2:$A36)-ROW($A$2)+1))
    )
    &amp; "."
    &amp;
    COUNTIF(
        INDEX($A$2:$A36,
              MAX(IF($A$2:$A36=2,ROW($A$2:$A36)-ROW($A$2)+1))
        ):$A36,
        3
    ),
IF($A36=4,
    INDEX($B$2:$B$103,
          MAX(IF($A$2:$A36=3,ROW($A$2:$A36)-ROW($A$2)+1))
    )
    &amp; "."
    &amp;
    COUNTIF(
        INDEX($A$2:$A36,
              MAX(IF($A$2:$A36=3,ROW($A$2:$A36)-ROW($A$2)+1))
        ):$A36,
        4
    ),
""))))</f>
        <v>3.3.4</v>
      </c>
      <c r="C36" s="27" t="s">
        <v>33</v>
      </c>
      <c r="D36" s="1" t="s">
        <v>202</v>
      </c>
      <c r="E36" s="1" t="s">
        <v>43</v>
      </c>
      <c r="F36" s="1" t="s">
        <v>7</v>
      </c>
      <c r="G36" s="27" t="s">
        <v>251</v>
      </c>
    </row>
    <row r="37" spans="1:7" ht="60" x14ac:dyDescent="0.25">
      <c r="A37" s="28">
        <v>3</v>
      </c>
      <c r="B37" s="1" t="str" cm="1">
        <f t="array" ref="B37">IF($A37=1,
    COUNTIF($A$2:$A37,1),
IF($A37=2,
    INDEX($B$2:$B$103,
          MAX(IF($A$2:$A37=1,ROW($A$2:$A37)-ROW($A$2)+1))
    )
    &amp; "."
    &amp;
    COUNTIF(
        INDEX($A$2:$A37,
              MAX(IF($A$2:$A37=1,ROW($A$2:$A37)-ROW($A$2)+1))
        ):$A37,
        2
    ),
IF($A37=3,
    INDEX($B$2:$B$103,
          MAX(IF($A$2:$A37=2,ROW($A$2:$A37)-ROW($A$2)+1))
    )
    &amp; "."
    &amp;
    COUNTIF(
        INDEX($A$2:$A37,
              MAX(IF($A$2:$A37=2,ROW($A$2:$A37)-ROW($A$2)+1))
        ):$A37,
        3
    ),
IF($A37=4,
    INDEX($B$2:$B$103,
          MAX(IF($A$2:$A37=3,ROW($A$2:$A37)-ROW($A$2)+1))
    )
    &amp; "."
    &amp;
    COUNTIF(
        INDEX($A$2:$A37,
              MAX(IF($A$2:$A37=3,ROW($A$2:$A37)-ROW($A$2)+1))
        ):$A37,
        4
    ),
""))))</f>
        <v>3.3.5</v>
      </c>
      <c r="C37" s="27" t="s">
        <v>349</v>
      </c>
      <c r="D37" s="1" t="s">
        <v>202</v>
      </c>
      <c r="E37" s="1" t="s">
        <v>43</v>
      </c>
      <c r="F37" s="1" t="s">
        <v>7</v>
      </c>
      <c r="G37" s="27" t="s">
        <v>352</v>
      </c>
    </row>
    <row r="38" spans="1:7" ht="90" x14ac:dyDescent="0.25">
      <c r="A38" s="28">
        <v>3</v>
      </c>
      <c r="B38" s="1" t="str" cm="1">
        <f t="array" ref="B38">IF($A38=1,
    COUNTIF($A$2:$A38,1),
IF($A38=2,
    INDEX($B$2:$B$103,
          MAX(IF($A$2:$A38=1,ROW($A$2:$A38)-ROW($A$2)+1))
    )
    &amp; "."
    &amp;
    COUNTIF(
        INDEX($A$2:$A38,
              MAX(IF($A$2:$A38=1,ROW($A$2:$A38)-ROW($A$2)+1))
        ):$A38,
        2
    ),
IF($A38=3,
    INDEX($B$2:$B$103,
          MAX(IF($A$2:$A38=2,ROW($A$2:$A38)-ROW($A$2)+1))
    )
    &amp; "."
    &amp;
    COUNTIF(
        INDEX($A$2:$A38,
              MAX(IF($A$2:$A38=2,ROW($A$2:$A38)-ROW($A$2)+1))
        ):$A38,
        3
    ),
IF($A38=4,
    INDEX($B$2:$B$103,
          MAX(IF($A$2:$A38=3,ROW($A$2:$A38)-ROW($A$2)+1))
    )
    &amp; "."
    &amp;
    COUNTIF(
        INDEX($A$2:$A38,
              MAX(IF($A$2:$A38=3,ROW($A$2:$A38)-ROW($A$2)+1))
        ):$A38,
        4
    ),
""))))</f>
        <v>3.3.6</v>
      </c>
      <c r="C38" s="27" t="s">
        <v>350</v>
      </c>
      <c r="D38" s="1" t="s">
        <v>202</v>
      </c>
      <c r="E38" s="1" t="s">
        <v>43</v>
      </c>
      <c r="F38" s="1" t="s">
        <v>7</v>
      </c>
      <c r="G38" s="27" t="s">
        <v>351</v>
      </c>
    </row>
    <row r="39" spans="1:7" ht="60" x14ac:dyDescent="0.25">
      <c r="A39" s="28">
        <v>2</v>
      </c>
      <c r="B39" s="1" t="str" cm="1">
        <f t="array" ref="B39">IF($A39=1,
    COUNTIF($A$2:$A39,1),
IF($A39=2,
    INDEX($B$2:$B$103,
          MAX(IF($A$2:$A39=1,ROW($A$2:$A39)-ROW($A$2)+1))
    )
    &amp; "."
    &amp;
    COUNTIF(
        INDEX($A$2:$A39,
              MAX(IF($A$2:$A39=1,ROW($A$2:$A39)-ROW($A$2)+1))
        ):$A39,
        2
    ),
IF($A39=3,
    INDEX($B$2:$B$103,
          MAX(IF($A$2:$A39=2,ROW($A$2:$A39)-ROW($A$2)+1))
    )
    &amp; "."
    &amp;
    COUNTIF(
        INDEX($A$2:$A39,
              MAX(IF($A$2:$A39=2,ROW($A$2:$A39)-ROW($A$2)+1))
        ):$A39,
        3
    ),
IF($A39=4,
    INDEX($B$2:$B$103,
          MAX(IF($A$2:$A39=3,ROW($A$2:$A39)-ROW($A$2)+1))
    )
    &amp; "."
    &amp;
    COUNTIF(
        INDEX($A$2:$A39,
              MAX(IF($A$2:$A39=3,ROW($A$2:$A39)-ROW($A$2)+1))
        ):$A39,
        4
    ),
""))))</f>
        <v>3.4</v>
      </c>
      <c r="C39" s="27" t="s">
        <v>225</v>
      </c>
      <c r="D39" s="1" t="s">
        <v>202</v>
      </c>
      <c r="E39" s="1" t="s">
        <v>43</v>
      </c>
      <c r="F39" s="1" t="s">
        <v>7</v>
      </c>
      <c r="G39" s="27" t="s">
        <v>268</v>
      </c>
    </row>
    <row r="40" spans="1:7" ht="90" x14ac:dyDescent="0.25">
      <c r="A40" s="28">
        <v>3</v>
      </c>
      <c r="B40" s="1" t="str" cm="1">
        <f t="array" ref="B40">IF($A40=1,
    COUNTIF($A$2:$A40,1),
IF($A40=2,
    INDEX($B$2:$B$103,
          MAX(IF($A$2:$A40=1,ROW($A$2:$A40)-ROW($A$2)+1))
    )
    &amp; "."
    &amp;
    COUNTIF(
        INDEX($A$2:$A40,
              MAX(IF($A$2:$A40=1,ROW($A$2:$A40)-ROW($A$2)+1))
        ):$A40,
        2
    ),
IF($A40=3,
    INDEX($B$2:$B$103,
          MAX(IF($A$2:$A40=2,ROW($A$2:$A40)-ROW($A$2)+1))
    )
    &amp; "."
    &amp;
    COUNTIF(
        INDEX($A$2:$A40,
              MAX(IF($A$2:$A40=2,ROW($A$2:$A40)-ROW($A$2)+1))
        ):$A40,
        3
    ),
IF($A40=4,
    INDEX($B$2:$B$103,
          MAX(IF($A$2:$A40=3,ROW($A$2:$A40)-ROW($A$2)+1))
    )
    &amp; "."
    &amp;
    COUNTIF(
        INDEX($A$2:$A40,
              MAX(IF($A$2:$A40=3,ROW($A$2:$A40)-ROW($A$2)+1))
        ):$A40,
        4
    ),
""))))</f>
        <v>3.4.1</v>
      </c>
      <c r="C40" s="27" t="s">
        <v>22</v>
      </c>
      <c r="D40" s="1" t="s">
        <v>202</v>
      </c>
      <c r="E40" s="1" t="s">
        <v>43</v>
      </c>
      <c r="F40" s="1" t="s">
        <v>7</v>
      </c>
      <c r="G40" s="27" t="s">
        <v>255</v>
      </c>
    </row>
    <row r="41" spans="1:7" ht="60" x14ac:dyDescent="0.25">
      <c r="A41" s="28">
        <v>3</v>
      </c>
      <c r="B41" s="1" t="str" cm="1">
        <f t="array" ref="B41">IF($A41=1,
    COUNTIF($A$2:$A41,1),
IF($A41=2,
    INDEX($B$2:$B$103,
          MAX(IF($A$2:$A41=1,ROW($A$2:$A41)-ROW($A$2)+1))
    )
    &amp; "."
    &amp;
    COUNTIF(
        INDEX($A$2:$A41,
              MAX(IF($A$2:$A41=1,ROW($A$2:$A41)-ROW($A$2)+1))
        ):$A41,
        2
    ),
IF($A41=3,
    INDEX($B$2:$B$103,
          MAX(IF($A$2:$A41=2,ROW($A$2:$A41)-ROW($A$2)+1))
    )
    &amp; "."
    &amp;
    COUNTIF(
        INDEX($A$2:$A41,
              MAX(IF($A$2:$A41=2,ROW($A$2:$A41)-ROW($A$2)+1))
        ):$A41,
        3
    ),
IF($A41=4,
    INDEX($B$2:$B$103,
          MAX(IF($A$2:$A41=3,ROW($A$2:$A41)-ROW($A$2)+1))
    )
    &amp; "."
    &amp;
    COUNTIF(
        INDEX($A$2:$A41,
              MAX(IF($A$2:$A41=3,ROW($A$2:$A41)-ROW($A$2)+1))
        ):$A41,
        4
    ),
""))))</f>
        <v>3.4.2</v>
      </c>
      <c r="C41" s="27" t="s">
        <v>23</v>
      </c>
      <c r="D41" s="1" t="s">
        <v>202</v>
      </c>
      <c r="E41" s="1" t="s">
        <v>43</v>
      </c>
      <c r="F41" s="1" t="s">
        <v>7</v>
      </c>
      <c r="G41" s="27" t="s">
        <v>258</v>
      </c>
    </row>
    <row r="42" spans="1:7" ht="60" x14ac:dyDescent="0.25">
      <c r="A42" s="28">
        <v>3</v>
      </c>
      <c r="B42" s="1" t="str" cm="1">
        <f t="array" ref="B42">IF($A42=1,
    COUNTIF($A$2:$A42,1),
IF($A42=2,
    INDEX($B$2:$B$103,
          MAX(IF($A$2:$A42=1,ROW($A$2:$A42)-ROW($A$2)+1))
    )
    &amp; "."
    &amp;
    COUNTIF(
        INDEX($A$2:$A42,
              MAX(IF($A$2:$A42=1,ROW($A$2:$A42)-ROW($A$2)+1))
        ):$A42,
        2
    ),
IF($A42=3,
    INDEX($B$2:$B$103,
          MAX(IF($A$2:$A42=2,ROW($A$2:$A42)-ROW($A$2)+1))
    )
    &amp; "."
    &amp;
    COUNTIF(
        INDEX($A$2:$A42,
              MAX(IF($A$2:$A42=2,ROW($A$2:$A42)-ROW($A$2)+1))
        ):$A42,
        3
    ),
IF($A42=4,
    INDEX($B$2:$B$103,
          MAX(IF($A$2:$A42=3,ROW($A$2:$A42)-ROW($A$2)+1))
    )
    &amp; "."
    &amp;
    COUNTIF(
        INDEX($A$2:$A42,
              MAX(IF($A$2:$A42=3,ROW($A$2:$A42)-ROW($A$2)+1))
        ):$A42,
        4
    ),
""))))</f>
        <v>3.4.3</v>
      </c>
      <c r="C42" s="27" t="s">
        <v>24</v>
      </c>
      <c r="D42" s="1" t="s">
        <v>202</v>
      </c>
      <c r="E42" s="1" t="s">
        <v>43</v>
      </c>
      <c r="F42" s="1" t="s">
        <v>7</v>
      </c>
      <c r="G42" s="27" t="s">
        <v>259</v>
      </c>
    </row>
    <row r="43" spans="1:7" ht="75" x14ac:dyDescent="0.25">
      <c r="A43" s="28">
        <v>3</v>
      </c>
      <c r="B43" s="1" t="str" cm="1">
        <f t="array" ref="B43">IF($A43=1,
    COUNTIF($A$2:$A43,1),
IF($A43=2,
    INDEX($B$2:$B$103,
          MAX(IF($A$2:$A43=1,ROW($A$2:$A43)-ROW($A$2)+1))
    )
    &amp; "."
    &amp;
    COUNTIF(
        INDEX($A$2:$A43,
              MAX(IF($A$2:$A43=1,ROW($A$2:$A43)-ROW($A$2)+1))
        ):$A43,
        2
    ),
IF($A43=3,
    INDEX($B$2:$B$103,
          MAX(IF($A$2:$A43=2,ROW($A$2:$A43)-ROW($A$2)+1))
    )
    &amp; "."
    &amp;
    COUNTIF(
        INDEX($A$2:$A43,
              MAX(IF($A$2:$A43=2,ROW($A$2:$A43)-ROW($A$2)+1))
        ):$A43,
        3
    ),
IF($A43=4,
    INDEX($B$2:$B$103,
          MAX(IF($A$2:$A43=3,ROW($A$2:$A43)-ROW($A$2)+1))
    )
    &amp; "."
    &amp;
    COUNTIF(
        INDEX($A$2:$A43,
              MAX(IF($A$2:$A43=3,ROW($A$2:$A43)-ROW($A$2)+1))
        ):$A43,
        4
    ),
""))))</f>
        <v>3.4.4</v>
      </c>
      <c r="C43" s="27" t="s">
        <v>25</v>
      </c>
      <c r="D43" s="1" t="s">
        <v>202</v>
      </c>
      <c r="E43" s="1" t="s">
        <v>43</v>
      </c>
      <c r="F43" s="1" t="s">
        <v>7</v>
      </c>
      <c r="G43" s="27" t="s">
        <v>260</v>
      </c>
    </row>
    <row r="44" spans="1:7" ht="105" x14ac:dyDescent="0.25">
      <c r="A44" s="28">
        <v>3</v>
      </c>
      <c r="B44" s="1" t="str" cm="1">
        <f t="array" ref="B44">IF($A44=1,
    COUNTIF($A$2:$A44,1),
IF($A44=2,
    INDEX($B$2:$B$103,
          MAX(IF($A$2:$A44=1,ROW($A$2:$A44)-ROW($A$2)+1))
    )
    &amp; "."
    &amp;
    COUNTIF(
        INDEX($A$2:$A44,
              MAX(IF($A$2:$A44=1,ROW($A$2:$A44)-ROW($A$2)+1))
        ):$A44,
        2
    ),
IF($A44=3,
    INDEX($B$2:$B$103,
          MAX(IF($A$2:$A44=2,ROW($A$2:$A44)-ROW($A$2)+1))
    )
    &amp; "."
    &amp;
    COUNTIF(
        INDEX($A$2:$A44,
              MAX(IF($A$2:$A44=2,ROW($A$2:$A44)-ROW($A$2)+1))
        ):$A44,
        3
    ),
IF($A44=4,
    INDEX($B$2:$B$103,
          MAX(IF($A$2:$A44=3,ROW($A$2:$A44)-ROW($A$2)+1))
    )
    &amp; "."
    &amp;
    COUNTIF(
        INDEX($A$2:$A44,
              MAX(IF($A$2:$A44=3,ROW($A$2:$A44)-ROW($A$2)+1))
        ):$A44,
        4
    ),
""))))</f>
        <v>3.4.5</v>
      </c>
      <c r="C44" s="27" t="s">
        <v>26</v>
      </c>
      <c r="D44" s="1" t="s">
        <v>202</v>
      </c>
      <c r="E44" s="1" t="s">
        <v>43</v>
      </c>
      <c r="F44" s="1" t="s">
        <v>7</v>
      </c>
      <c r="G44" s="27" t="s">
        <v>261</v>
      </c>
    </row>
    <row r="45" spans="1:7" ht="30" x14ac:dyDescent="0.25">
      <c r="A45" s="28">
        <v>3</v>
      </c>
      <c r="B45" s="1" t="str" cm="1">
        <f t="array" ref="B45">IF($A45=1,
    COUNTIF($A$2:$A45,1),
IF($A45=2,
    INDEX($B$2:$B$103,
          MAX(IF($A$2:$A45=1,ROW($A$2:$A45)-ROW($A$2)+1))
    )
    &amp; "."
    &amp;
    COUNTIF(
        INDEX($A$2:$A45,
              MAX(IF($A$2:$A45=1,ROW($A$2:$A45)-ROW($A$2)+1))
        ):$A45,
        2
    ),
IF($A45=3,
    INDEX($B$2:$B$103,
          MAX(IF($A$2:$A45=2,ROW($A$2:$A45)-ROW($A$2)+1))
    )
    &amp; "."
    &amp;
    COUNTIF(
        INDEX($A$2:$A45,
              MAX(IF($A$2:$A45=2,ROW($A$2:$A45)-ROW($A$2)+1))
        ):$A45,
        3
    ),
IF($A45=4,
    INDEX($B$2:$B$103,
          MAX(IF($A$2:$A45=3,ROW($A$2:$A45)-ROW($A$2)+1))
    )
    &amp; "."
    &amp;
    COUNTIF(
        INDEX($A$2:$A45,
              MAX(IF($A$2:$A45=3,ROW($A$2:$A45)-ROW($A$2)+1))
        ):$A45,
        4
    ),
""))))</f>
        <v>3.4.6</v>
      </c>
      <c r="C45" s="27" t="s">
        <v>27</v>
      </c>
      <c r="D45" s="1" t="s">
        <v>354</v>
      </c>
      <c r="E45" s="1" t="s">
        <v>43</v>
      </c>
      <c r="F45" s="1" t="s">
        <v>7</v>
      </c>
      <c r="G45" s="27" t="s">
        <v>51</v>
      </c>
    </row>
    <row r="46" spans="1:7" ht="30" x14ac:dyDescent="0.25">
      <c r="A46" s="28">
        <v>3</v>
      </c>
      <c r="B46" s="1" t="str" cm="1">
        <f t="array" ref="B46">IF($A46=1,
    COUNTIF($A$2:$A46,1),
IF($A46=2,
    INDEX($B$2:$B$103,
          MAX(IF($A$2:$A46=1,ROW($A$2:$A46)-ROW($A$2)+1))
    )
    &amp; "."
    &amp;
    COUNTIF(
        INDEX($A$2:$A46,
              MAX(IF($A$2:$A46=1,ROW($A$2:$A46)-ROW($A$2)+1))
        ):$A46,
        2
    ),
IF($A46=3,
    INDEX($B$2:$B$103,
          MAX(IF($A$2:$A46=2,ROW($A$2:$A46)-ROW($A$2)+1))
    )
    &amp; "."
    &amp;
    COUNTIF(
        INDEX($A$2:$A46,
              MAX(IF($A$2:$A46=2,ROW($A$2:$A46)-ROW($A$2)+1))
        ):$A46,
        3
    ),
IF($A46=4,
    INDEX($B$2:$B$103,
          MAX(IF($A$2:$A46=3,ROW($A$2:$A46)-ROW($A$2)+1))
    )
    &amp; "."
    &amp;
    COUNTIF(
        INDEX($A$2:$A46,
              MAX(IF($A$2:$A46=3,ROW($A$2:$A46)-ROW($A$2)+1))
        ):$A46,
        4
    ),
""))))</f>
        <v>3.4.7</v>
      </c>
      <c r="C46" s="27" t="s">
        <v>28</v>
      </c>
      <c r="D46" s="1" t="s">
        <v>354</v>
      </c>
      <c r="E46" s="1" t="s">
        <v>43</v>
      </c>
      <c r="F46" s="1" t="s">
        <v>7</v>
      </c>
      <c r="G46" s="27" t="s">
        <v>52</v>
      </c>
    </row>
    <row r="47" spans="1:7" ht="30" x14ac:dyDescent="0.25">
      <c r="A47" s="28">
        <v>3</v>
      </c>
      <c r="B47" s="1" t="str" cm="1">
        <f t="array" ref="B47">IF($A47=1,
    COUNTIF($A$2:$A47,1),
IF($A47=2,
    INDEX($B$2:$B$103,
          MAX(IF($A$2:$A47=1,ROW($A$2:$A47)-ROW($A$2)+1))
    )
    &amp; "."
    &amp;
    COUNTIF(
        INDEX($A$2:$A47,
              MAX(IF($A$2:$A47=1,ROW($A$2:$A47)-ROW($A$2)+1))
        ):$A47,
        2
    ),
IF($A47=3,
    INDEX($B$2:$B$103,
          MAX(IF($A$2:$A47=2,ROW($A$2:$A47)-ROW($A$2)+1))
    )
    &amp; "."
    &amp;
    COUNTIF(
        INDEX($A$2:$A47,
              MAX(IF($A$2:$A47=2,ROW($A$2:$A47)-ROW($A$2)+1))
        ):$A47,
        3
    ),
IF($A47=4,
    INDEX($B$2:$B$103,
          MAX(IF($A$2:$A47=3,ROW($A$2:$A47)-ROW($A$2)+1))
    )
    &amp; "."
    &amp;
    COUNTIF(
        INDEX($A$2:$A47,
              MAX(IF($A$2:$A47=3,ROW($A$2:$A47)-ROW($A$2)+1))
        ):$A47,
        4
    ),
""))))</f>
        <v>3.4.8</v>
      </c>
      <c r="C47" s="27" t="s">
        <v>29</v>
      </c>
      <c r="D47" s="1" t="s">
        <v>354</v>
      </c>
      <c r="E47" s="1" t="s">
        <v>43</v>
      </c>
      <c r="F47" s="1" t="s">
        <v>7</v>
      </c>
      <c r="G47" s="27" t="s">
        <v>53</v>
      </c>
    </row>
    <row r="48" spans="1:7" x14ac:dyDescent="0.25">
      <c r="A48" s="28">
        <v>3</v>
      </c>
      <c r="B48" s="1" t="str" cm="1">
        <f t="array" ref="B48">IF($A48=1,
    COUNTIF($A$2:$A48,1),
IF($A48=2,
    INDEX($B$2:$B$103,
          MAX(IF($A$2:$A48=1,ROW($A$2:$A48)-ROW($A$2)+1))
    )
    &amp; "."
    &amp;
    COUNTIF(
        INDEX($A$2:$A48,
              MAX(IF($A$2:$A48=1,ROW($A$2:$A48)-ROW($A$2)+1))
        ):$A48,
        2
    ),
IF($A48=3,
    INDEX($B$2:$B$103,
          MAX(IF($A$2:$A48=2,ROW($A$2:$A48)-ROW($A$2)+1))
    )
    &amp; "."
    &amp;
    COUNTIF(
        INDEX($A$2:$A48,
              MAX(IF($A$2:$A48=2,ROW($A$2:$A48)-ROW($A$2)+1))
        ):$A48,
        3
    ),
IF($A48=4,
    INDEX($B$2:$B$103,
          MAX(IF($A$2:$A48=3,ROW($A$2:$A48)-ROW($A$2)+1))
    )
    &amp; "."
    &amp;
    COUNTIF(
        INDEX($A$2:$A48,
              MAX(IF($A$2:$A48=3,ROW($A$2:$A48)-ROW($A$2)+1))
        ):$A48,
        4
    ),
""))))</f>
        <v>3.4.9</v>
      </c>
      <c r="C48" s="27" t="s">
        <v>207</v>
      </c>
      <c r="D48" s="1" t="s">
        <v>354</v>
      </c>
      <c r="E48" s="1" t="s">
        <v>43</v>
      </c>
      <c r="F48" s="1" t="s">
        <v>7</v>
      </c>
      <c r="G48" s="27" t="s">
        <v>208</v>
      </c>
    </row>
    <row r="49" spans="1:7" x14ac:dyDescent="0.25">
      <c r="A49" s="28">
        <v>3</v>
      </c>
      <c r="B49" s="1" t="str" cm="1">
        <f t="array" ref="B49">IF($A49=1,
    COUNTIF($A$2:$A49,1),
IF($A49=2,
    INDEX($B$2:$B$103,
          MAX(IF($A$2:$A49=1,ROW($A$2:$A49)-ROW($A$2)+1))
    )
    &amp; "."
    &amp;
    COUNTIF(
        INDEX($A$2:$A49,
              MAX(IF($A$2:$A49=1,ROW($A$2:$A49)-ROW($A$2)+1))
        ):$A49,
        2
    ),
IF($A49=3,
    INDEX($B$2:$B$103,
          MAX(IF($A$2:$A49=2,ROW($A$2:$A49)-ROW($A$2)+1))
    )
    &amp; "."
    &amp;
    COUNTIF(
        INDEX($A$2:$A49,
              MAX(IF($A$2:$A49=2,ROW($A$2:$A49)-ROW($A$2)+1))
        ):$A49,
        3
    ),
IF($A49=4,
    INDEX($B$2:$B$103,
          MAX(IF($A$2:$A49=3,ROW($A$2:$A49)-ROW($A$2)+1))
    )
    &amp; "."
    &amp;
    COUNTIF(
        INDEX($A$2:$A49,
              MAX(IF($A$2:$A49=3,ROW($A$2:$A49)-ROW($A$2)+1))
        ):$A49,
        4
    ),
""))))</f>
        <v>3.4.10</v>
      </c>
      <c r="C49" s="27" t="s">
        <v>265</v>
      </c>
      <c r="D49" s="1" t="s">
        <v>354</v>
      </c>
      <c r="E49" s="1" t="s">
        <v>43</v>
      </c>
      <c r="F49" s="1" t="s">
        <v>7</v>
      </c>
      <c r="G49" s="27" t="s">
        <v>269</v>
      </c>
    </row>
    <row r="50" spans="1:7" ht="60" x14ac:dyDescent="0.25">
      <c r="A50" s="28">
        <v>2</v>
      </c>
      <c r="B50" s="1" t="str" cm="1">
        <f t="array" ref="B50">IF($A50=1,
    COUNTIF($A$2:$A50,1),
IF($A50=2,
    INDEX($B$2:$B$103,
          MAX(IF($A$2:$A50=1,ROW($A$2:$A50)-ROW($A$2)+1))
    )
    &amp; "."
    &amp;
    COUNTIF(
        INDEX($A$2:$A50,
              MAX(IF($A$2:$A50=1,ROW($A$2:$A50)-ROW($A$2)+1))
        ):$A50,
        2
    ),
IF($A50=3,
    INDEX($B$2:$B$103,
          MAX(IF($A$2:$A50=2,ROW($A$2:$A50)-ROW($A$2)+1))
    )
    &amp; "."
    &amp;
    COUNTIF(
        INDEX($A$2:$A50,
              MAX(IF($A$2:$A50=2,ROW($A$2:$A50)-ROW($A$2)+1))
        ):$A50,
        3
    ),
IF($A50=4,
    INDEX($B$2:$B$103,
          MAX(IF($A$2:$A50=3,ROW($A$2:$A50)-ROW($A$2)+1))
    )
    &amp; "."
    &amp;
    COUNTIF(
        INDEX($A$2:$A50,
              MAX(IF($A$2:$A50=3,ROW($A$2:$A50)-ROW($A$2)+1))
        ):$A50,
        4
    ),
""))))</f>
        <v>3.5</v>
      </c>
      <c r="C50" s="27" t="s">
        <v>347</v>
      </c>
      <c r="D50" s="1" t="s">
        <v>202</v>
      </c>
      <c r="E50" s="1" t="s">
        <v>43</v>
      </c>
      <c r="F50" s="1" t="s">
        <v>7</v>
      </c>
      <c r="G50" s="27" t="s">
        <v>348</v>
      </c>
    </row>
    <row r="51" spans="1:7" ht="240" x14ac:dyDescent="0.25">
      <c r="A51" s="28">
        <v>3</v>
      </c>
      <c r="B51" s="1" t="str" cm="1">
        <f t="array" ref="B51">IF($A51=1,
    COUNTIF($A$2:$A51,1),
IF($A51=2,
    INDEX($B$2:$B$103,
          MAX(IF($A$2:$A51=1,ROW($A$2:$A51)-ROW($A$2)+1))
    )
    &amp; "."
    &amp;
    COUNTIF(
        INDEX($A$2:$A51,
              MAX(IF($A$2:$A51=1,ROW($A$2:$A51)-ROW($A$2)+1))
        ):$A51,
        2
    ),
IF($A51=3,
    INDEX($B$2:$B$103,
          MAX(IF($A$2:$A51=2,ROW($A$2:$A51)-ROW($A$2)+1))
    )
    &amp; "."
    &amp;
    COUNTIF(
        INDEX($A$2:$A51,
              MAX(IF($A$2:$A51=2,ROW($A$2:$A51)-ROW($A$2)+1))
        ):$A51,
        3
    ),
IF($A51=4,
    INDEX($B$2:$B$103,
          MAX(IF($A$2:$A51=3,ROW($A$2:$A51)-ROW($A$2)+1))
    )
    &amp; "."
    &amp;
    COUNTIF(
        INDEX($A$2:$A51,
              MAX(IF($A$2:$A51=3,ROW($A$2:$A51)-ROW($A$2)+1))
        ):$A51,
        4
    ),
""))))</f>
        <v>3.5.1</v>
      </c>
      <c r="C51" s="27" t="s">
        <v>341</v>
      </c>
      <c r="D51" s="1" t="s">
        <v>202</v>
      </c>
      <c r="E51" s="1" t="s">
        <v>43</v>
      </c>
      <c r="F51" s="1" t="s">
        <v>7</v>
      </c>
      <c r="G51" s="27" t="s">
        <v>346</v>
      </c>
    </row>
    <row r="52" spans="1:7" ht="60" x14ac:dyDescent="0.25">
      <c r="A52" s="28">
        <v>3</v>
      </c>
      <c r="B52" s="1" t="str" cm="1">
        <f t="array" ref="B52">IF($A52=1,
    COUNTIF($A$2:$A52,1),
IF($A52=2,
    INDEX($B$2:$B$103,
          MAX(IF($A$2:$A52=1,ROW($A$2:$A52)-ROW($A$2)+1))
    )
    &amp; "."
    &amp;
    COUNTIF(
        INDEX($A$2:$A52,
              MAX(IF($A$2:$A52=1,ROW($A$2:$A52)-ROW($A$2)+1))
        ):$A52,
        2
    ),
IF($A52=3,
    INDEX($B$2:$B$103,
          MAX(IF($A$2:$A52=2,ROW($A$2:$A52)-ROW($A$2)+1))
    )
    &amp; "."
    &amp;
    COUNTIF(
        INDEX($A$2:$A52,
              MAX(IF($A$2:$A52=2,ROW($A$2:$A52)-ROW($A$2)+1))
        ):$A52,
        3
    ),
IF($A52=4,
    INDEX($B$2:$B$103,
          MAX(IF($A$2:$A52=3,ROW($A$2:$A52)-ROW($A$2)+1))
    )
    &amp; "."
    &amp;
    COUNTIF(
        INDEX($A$2:$A52,
              MAX(IF($A$2:$A52=3,ROW($A$2:$A52)-ROW($A$2)+1))
        ):$A52,
        4
    ),
""))))</f>
        <v>3.5.2</v>
      </c>
      <c r="C52" s="27" t="s">
        <v>345</v>
      </c>
      <c r="D52" s="1" t="s">
        <v>202</v>
      </c>
      <c r="E52" s="1" t="s">
        <v>43</v>
      </c>
      <c r="F52" s="1" t="s">
        <v>7</v>
      </c>
      <c r="G52" s="27" t="s">
        <v>344</v>
      </c>
    </row>
    <row r="53" spans="1:7" x14ac:dyDescent="0.25">
      <c r="A53" s="28">
        <v>1</v>
      </c>
      <c r="B53" s="1" cm="1">
        <f t="array" ref="B53">IF($A53=1,
    COUNTIF($A$2:$A53,1),
IF($A53=2,
    INDEX($B$2:$B$103,
          MAX(IF($A$2:$A53=1,ROW($A$2:$A53)-ROW($A$2)+1))
    )
    &amp; "."
    &amp;
    COUNTIF(
        INDEX($A$2:$A53,
              MAX(IF($A$2:$A53=1,ROW($A$2:$A53)-ROW($A$2)+1))
        ):$A53,
        2
    ),
IF($A53=3,
    INDEX($B$2:$B$103,
          MAX(IF($A$2:$A53=2,ROW($A$2:$A53)-ROW($A$2)+1))
    )
    &amp; "."
    &amp;
    COUNTIF(
        INDEX($A$2:$A53,
              MAX(IF($A$2:$A53=2,ROW($A$2:$A53)-ROW($A$2)+1))
        ):$A53,
        3
    ),
IF($A53=4,
    INDEX($B$2:$B$103,
          MAX(IF($A$2:$A53=3,ROW($A$2:$A53)-ROW($A$2)+1))
    )
    &amp; "."
    &amp;
    COUNTIF(
        INDEX($A$2:$A53,
              MAX(IF($A$2:$A53=3,ROW($A$2:$A53)-ROW($A$2)+1))
        ):$A53,
        4
    ),
""))))</f>
        <v>4</v>
      </c>
      <c r="C53" s="27" t="s">
        <v>253</v>
      </c>
      <c r="D53" s="1" t="s">
        <v>197</v>
      </c>
      <c r="E53" s="1" t="s">
        <v>44</v>
      </c>
      <c r="F53" s="1" t="s">
        <v>47</v>
      </c>
      <c r="G53" s="27" t="s">
        <v>48</v>
      </c>
    </row>
    <row r="54" spans="1:7" ht="45" x14ac:dyDescent="0.25">
      <c r="A54" s="28">
        <v>2</v>
      </c>
      <c r="B54" s="1" t="str" cm="1">
        <f t="array" ref="B54">IF($A54=1,
    COUNTIF($A$2:$A54,1),
IF($A54=2,
    INDEX($B$2:$B$103,
          MAX(IF($A$2:$A54=1,ROW($A$2:$A54)-ROW($A$2)+1))
    )
    &amp; "."
    &amp;
    COUNTIF(
        INDEX($A$2:$A54,
              MAX(IF($A$2:$A54=1,ROW($A$2:$A54)-ROW($A$2)+1))
        ):$A54,
        2
    ),
IF($A54=3,
    INDEX($B$2:$B$103,
          MAX(IF($A$2:$A54=2,ROW($A$2:$A54)-ROW($A$2)+1))
    )
    &amp; "."
    &amp;
    COUNTIF(
        INDEX($A$2:$A54,
              MAX(IF($A$2:$A54=2,ROW($A$2:$A54)-ROW($A$2)+1))
        ):$A54,
        3
    ),
IF($A54=4,
    INDEX($B$2:$B$103,
          MAX(IF($A$2:$A54=3,ROW($A$2:$A54)-ROW($A$2)+1))
    )
    &amp; "."
    &amp;
    COUNTIF(
        INDEX($A$2:$A54,
              MAX(IF($A$2:$A54=3,ROW($A$2:$A54)-ROW($A$2)+1))
        ):$A54,
        4
    ),
""))))</f>
        <v>4.1</v>
      </c>
      <c r="C54" s="27" t="s">
        <v>252</v>
      </c>
      <c r="D54" s="1" t="s">
        <v>200</v>
      </c>
      <c r="E54" s="1" t="s">
        <v>44</v>
      </c>
      <c r="F54" s="1" t="s">
        <v>47</v>
      </c>
      <c r="G54" s="27" t="s">
        <v>263</v>
      </c>
    </row>
    <row r="55" spans="1:7" ht="45" x14ac:dyDescent="0.25">
      <c r="A55" s="28">
        <v>2</v>
      </c>
      <c r="B55" s="1" t="str" cm="1">
        <f t="array" ref="B55">IF($A55=1,
    COUNTIF($A$2:$A55,1),
IF($A55=2,
    INDEX($B$2:$B$103,
          MAX(IF($A$2:$A55=1,ROW($A$2:$A55)-ROW($A$2)+1))
    )
    &amp; "."
    &amp;
    COUNTIF(
        INDEX($A$2:$A55,
              MAX(IF($A$2:$A55=1,ROW($A$2:$A55)-ROW($A$2)+1))
        ):$A55,
        2
    ),
IF($A55=3,
    INDEX($B$2:$B$103,
          MAX(IF($A$2:$A55=2,ROW($A$2:$A55)-ROW($A$2)+1))
    )
    &amp; "."
    &amp;
    COUNTIF(
        INDEX($A$2:$A55,
              MAX(IF($A$2:$A55=2,ROW($A$2:$A55)-ROW($A$2)+1))
        ):$A55,
        3
    ),
IF($A55=4,
    INDEX($B$2:$B$103,
          MAX(IF($A$2:$A55=3,ROW($A$2:$A55)-ROW($A$2)+1))
    )
    &amp; "."
    &amp;
    COUNTIF(
        INDEX($A$2:$A55,
              MAX(IF($A$2:$A55=3,ROW($A$2:$A55)-ROW($A$2)+1))
        ):$A55,
        4
    ),
""))))</f>
        <v>4.2</v>
      </c>
      <c r="C55" s="27" t="s">
        <v>262</v>
      </c>
      <c r="D55" s="1" t="s">
        <v>200</v>
      </c>
      <c r="E55" s="1" t="s">
        <v>44</v>
      </c>
      <c r="F55" s="1" t="s">
        <v>47</v>
      </c>
      <c r="G55" s="27" t="s">
        <v>264</v>
      </c>
    </row>
    <row r="56" spans="1:7" ht="75" x14ac:dyDescent="0.25">
      <c r="A56" s="28">
        <v>3</v>
      </c>
      <c r="B56" s="1" t="str" cm="1">
        <f t="array" ref="B56">IF($A56=1,
    COUNTIF($A$2:$A56,1),
IF($A56=2,
    INDEX($B$2:$B$103,
          MAX(IF($A$2:$A56=1,ROW($A$2:$A56)-ROW($A$2)+1))
    )
    &amp; "."
    &amp;
    COUNTIF(
        INDEX($A$2:$A56,
              MAX(IF($A$2:$A56=1,ROW($A$2:$A56)-ROW($A$2)+1))
        ):$A56,
        2
    ),
IF($A56=3,
    INDEX($B$2:$B$103,
          MAX(IF($A$2:$A56=2,ROW($A$2:$A56)-ROW($A$2)+1))
    )
    &amp; "."
    &amp;
    COUNTIF(
        INDEX($A$2:$A56,
              MAX(IF($A$2:$A56=2,ROW($A$2:$A56)-ROW($A$2)+1))
        ):$A56,
        3
    ),
IF($A56=4,
    INDEX($B$2:$B$103,
          MAX(IF($A$2:$A56=3,ROW($A$2:$A56)-ROW($A$2)+1))
    )
    &amp; "."
    &amp;
    COUNTIF(
        INDEX($A$2:$A56,
              MAX(IF($A$2:$A56=3,ROW($A$2:$A56)-ROW($A$2)+1))
        ):$A56,
        4
    ),
""))))</f>
        <v>4.2.1</v>
      </c>
      <c r="C56" s="27" t="s">
        <v>356</v>
      </c>
      <c r="D56" s="1" t="s">
        <v>199</v>
      </c>
      <c r="E56" s="1"/>
      <c r="F56" s="1"/>
      <c r="G56" s="27"/>
    </row>
    <row r="57" spans="1:7" ht="30" x14ac:dyDescent="0.25">
      <c r="A57" s="28">
        <v>2</v>
      </c>
      <c r="B57" s="1" t="str" cm="1">
        <f t="array" ref="B57">IF($A57=1,
    COUNTIF($A$2:$A57,1),
IF($A57=2,
    INDEX($B$2:$B$103,
          MAX(IF($A$2:$A57=1,ROW($A$2:$A57)-ROW($A$2)+1))
    )
    &amp; "."
    &amp;
    COUNTIF(
        INDEX($A$2:$A57,
              MAX(IF($A$2:$A57=1,ROW($A$2:$A57)-ROW($A$2)+1))
        ):$A57,
        2
    ),
IF($A57=3,
    INDEX($B$2:$B$103,
          MAX(IF($A$2:$A57=2,ROW($A$2:$A57)-ROW($A$2)+1))
    )
    &amp; "."
    &amp;
    COUNTIF(
        INDEX($A$2:$A57,
              MAX(IF($A$2:$A57=2,ROW($A$2:$A57)-ROW($A$2)+1))
        ):$A57,
        3
    ),
IF($A57=4,
    INDEX($B$2:$B$103,
          MAX(IF($A$2:$A57=3,ROW($A$2:$A57)-ROW($A$2)+1))
    )
    &amp; "."
    &amp;
    COUNTIF(
        INDEX($A$2:$A57,
              MAX(IF($A$2:$A57=3,ROW($A$2:$A57)-ROW($A$2)+1))
        ):$A57,
        4
    ),
""))))</f>
        <v>4.3</v>
      </c>
      <c r="C57" s="27" t="s">
        <v>34</v>
      </c>
      <c r="D57" s="1" t="s">
        <v>199</v>
      </c>
      <c r="E57" s="1" t="s">
        <v>44</v>
      </c>
      <c r="F57" s="1" t="s">
        <v>47</v>
      </c>
      <c r="G57" s="27" t="s">
        <v>254</v>
      </c>
    </row>
    <row r="58" spans="1:7" x14ac:dyDescent="0.25">
      <c r="A58" s="28">
        <v>1</v>
      </c>
      <c r="B58" s="1" cm="1">
        <f t="array" ref="B58">IF($A58=1,
    COUNTIF($A$2:$A58,1),
IF($A58=2,
    INDEX($B$2:$B$103,
          MAX(IF($A$2:$A58=1,ROW($A$2:$A58)-ROW($A$2)+1))
    )
    &amp; "."
    &amp;
    COUNTIF(
        INDEX($A$2:$A58,
              MAX(IF($A$2:$A58=1,ROW($A$2:$A58)-ROW($A$2)+1))
        ):$A58,
        2
    ),
IF($A58=3,
    INDEX($B$2:$B$103,
          MAX(IF($A$2:$A58=2,ROW($A$2:$A58)-ROW($A$2)+1))
    )
    &amp; "."
    &amp;
    COUNTIF(
        INDEX($A$2:$A58,
              MAX(IF($A$2:$A58=2,ROW($A$2:$A58)-ROW($A$2)+1))
        ):$A58,
        3
    ),
IF($A58=4,
    INDEX($B$2:$B$103,
          MAX(IF($A$2:$A58=3,ROW($A$2:$A58)-ROW($A$2)+1))
    )
    &amp; "."
    &amp;
    COUNTIF(
        INDEX($A$2:$A58,
              MAX(IF($A$2:$A58=3,ROW($A$2:$A58)-ROW($A$2)+1))
        ):$A58,
        4
    ),
""))))</f>
        <v>5</v>
      </c>
      <c r="C58" s="27" t="s">
        <v>8</v>
      </c>
      <c r="D58" s="1" t="s">
        <v>197</v>
      </c>
      <c r="E58" s="1" t="s">
        <v>45</v>
      </c>
      <c r="F58" s="1" t="s">
        <v>8</v>
      </c>
      <c r="G58" s="27" t="s">
        <v>49</v>
      </c>
    </row>
    <row r="59" spans="1:7" x14ac:dyDescent="0.25">
      <c r="A59" s="28">
        <v>2</v>
      </c>
      <c r="B59" s="1" t="str" cm="1">
        <f t="array" ref="B59">IF($A59=1,
    COUNTIF($A$2:$A59,1),
IF($A59=2,
    INDEX($B$2:$B$103,
          MAX(IF($A$2:$A59=1,ROW($A$2:$A59)-ROW($A$2)+1))
    )
    &amp; "."
    &amp;
    COUNTIF(
        INDEX($A$2:$A59,
              MAX(IF($A$2:$A59=1,ROW($A$2:$A59)-ROW($A$2)+1))
        ):$A59,
        2
    ),
IF($A59=3,
    INDEX($B$2:$B$103,
          MAX(IF($A$2:$A59=2,ROW($A$2:$A59)-ROW($A$2)+1))
    )
    &amp; "."
    &amp;
    COUNTIF(
        INDEX($A$2:$A59,
              MAX(IF($A$2:$A59=2,ROW($A$2:$A59)-ROW($A$2)+1))
        ):$A59,
        3
    ),
IF($A59=4,
    INDEX($B$2:$B$103,
          MAX(IF($A$2:$A59=3,ROW($A$2:$A59)-ROW($A$2)+1))
    )
    &amp; "."
    &amp;
    COUNTIF(
        INDEX($A$2:$A59,
              MAX(IF($A$2:$A59=3,ROW($A$2:$A59)-ROW($A$2)+1))
        ):$A59,
        4
    ),
""))))</f>
        <v>5.1</v>
      </c>
      <c r="C59" s="27" t="s">
        <v>35</v>
      </c>
      <c r="D59" s="1" t="s">
        <v>197</v>
      </c>
      <c r="E59" s="1" t="s">
        <v>45</v>
      </c>
      <c r="F59" s="1" t="s">
        <v>8</v>
      </c>
      <c r="G59" s="27" t="s">
        <v>54</v>
      </c>
    </row>
    <row r="60" spans="1:7" ht="105" x14ac:dyDescent="0.25">
      <c r="A60" s="28">
        <v>2</v>
      </c>
      <c r="B60" s="1" t="str" cm="1">
        <f t="array" ref="B60">IF($A60=1,
    COUNTIF($A$2:$A60,1),
IF($A60=2,
    INDEX($B$2:$B$103,
          MAX(IF($A$2:$A60=1,ROW($A$2:$A60)-ROW($A$2)+1))
    )
    &amp; "."
    &amp;
    COUNTIF(
        INDEX($A$2:$A60,
              MAX(IF($A$2:$A60=1,ROW($A$2:$A60)-ROW($A$2)+1))
        ):$A60,
        2
    ),
IF($A60=3,
    INDEX($B$2:$B$103,
          MAX(IF($A$2:$A60=2,ROW($A$2:$A60)-ROW($A$2)+1))
    )
    &amp; "."
    &amp;
    COUNTIF(
        INDEX($A$2:$A60,
              MAX(IF($A$2:$A60=2,ROW($A$2:$A60)-ROW($A$2)+1))
        ):$A60,
        3
    ),
IF($A60=4,
    INDEX($B$2:$B$103,
          MAX(IF($A$2:$A60=3,ROW($A$2:$A60)-ROW($A$2)+1))
    )
    &amp; "."
    &amp;
    COUNTIF(
        INDEX($A$2:$A60,
              MAX(IF($A$2:$A60=3,ROW($A$2:$A60)-ROW($A$2)+1))
        ):$A60,
        4
    ),
""))))</f>
        <v>5.2</v>
      </c>
      <c r="C60" s="27" t="s">
        <v>36</v>
      </c>
      <c r="D60" s="1" t="s">
        <v>197</v>
      </c>
      <c r="E60" s="1" t="s">
        <v>45</v>
      </c>
      <c r="F60" s="1" t="s">
        <v>8</v>
      </c>
      <c r="G60" s="27" t="s">
        <v>257</v>
      </c>
    </row>
    <row r="61" spans="1:7" ht="30" x14ac:dyDescent="0.25">
      <c r="A61" s="28">
        <v>2</v>
      </c>
      <c r="B61" s="1" t="str" cm="1">
        <f t="array" ref="B61">IF($A61=1,
    COUNTIF($A$2:$A61,1),
IF($A61=2,
    INDEX($B$2:$B$103,
          MAX(IF($A$2:$A61=1,ROW($A$2:$A61)-ROW($A$2)+1))
    )
    &amp; "."
    &amp;
    COUNTIF(
        INDEX($A$2:$A61,
              MAX(IF($A$2:$A61=1,ROW($A$2:$A61)-ROW($A$2)+1))
        ):$A61,
        2
    ),
IF($A61=3,
    INDEX($B$2:$B$103,
          MAX(IF($A$2:$A61=2,ROW($A$2:$A61)-ROW($A$2)+1))
    )
    &amp; "."
    &amp;
    COUNTIF(
        INDEX($A$2:$A61,
              MAX(IF($A$2:$A61=2,ROW($A$2:$A61)-ROW($A$2)+1))
        ):$A61,
        3
    ),
IF($A61=4,
    INDEX($B$2:$B$103,
          MAX(IF($A$2:$A61=3,ROW($A$2:$A61)-ROW($A$2)+1))
    )
    &amp; "."
    &amp;
    COUNTIF(
        INDEX($A$2:$A61,
              MAX(IF($A$2:$A61=3,ROW($A$2:$A61)-ROW($A$2)+1))
        ):$A61,
        4
    ),
""))))</f>
        <v>5.3</v>
      </c>
      <c r="C61" s="27" t="s">
        <v>37</v>
      </c>
      <c r="D61" s="1" t="s">
        <v>196</v>
      </c>
      <c r="E61" s="1" t="s">
        <v>45</v>
      </c>
      <c r="F61" s="1" t="s">
        <v>8</v>
      </c>
      <c r="G61" s="27" t="s">
        <v>256</v>
      </c>
    </row>
    <row r="62" spans="1:7" x14ac:dyDescent="0.25">
      <c r="A62" s="28">
        <v>1</v>
      </c>
      <c r="B62" s="1" cm="1">
        <f t="array" ref="B62">IF($A62=1,
    COUNTIF($A$2:$A62,1),
IF($A62=2,
    INDEX($B$2:$B$103,
          MAX(IF($A$2:$A62=1,ROW($A$2:$A62)-ROW($A$2)+1))
    )
    &amp; "."
    &amp;
    COUNTIF(
        INDEX($A$2:$A62,
              MAX(IF($A$2:$A62=1,ROW($A$2:$A62)-ROW($A$2)+1))
        ):$A62,
        2
    ),
IF($A62=3,
    INDEX($B$2:$B$103,
          MAX(IF($A$2:$A62=2,ROW($A$2:$A62)-ROW($A$2)+1))
    )
    &amp; "."
    &amp;
    COUNTIF(
        INDEX($A$2:$A62,
              MAX(IF($A$2:$A62=2,ROW($A$2:$A62)-ROW($A$2)+1))
        ):$A62,
        3
    ),
IF($A62=4,
    INDEX($B$2:$B$103,
          MAX(IF($A$2:$A62=3,ROW($A$2:$A62)-ROW($A$2)+1))
    )
    &amp; "."
    &amp;
    COUNTIF(
        INDEX($A$2:$A62,
              MAX(IF($A$2:$A62=3,ROW($A$2:$A62)-ROW($A$2)+1))
        ):$A62,
        4
    ),
""))))</f>
        <v>6</v>
      </c>
      <c r="C62" s="27" t="s">
        <v>9</v>
      </c>
      <c r="D62" s="1" t="s">
        <v>196</v>
      </c>
      <c r="E62" s="1" t="s">
        <v>45</v>
      </c>
      <c r="F62" s="1" t="s">
        <v>9</v>
      </c>
      <c r="G62" s="27" t="s">
        <v>50</v>
      </c>
    </row>
    <row r="63" spans="1:7" x14ac:dyDescent="0.25">
      <c r="A63" s="28">
        <v>2</v>
      </c>
      <c r="B63" s="1" t="str" cm="1">
        <f t="array" ref="B63">IF($A63=1,
    COUNTIF($A$2:$A63,1),
IF($A63=2,
    INDEX($B$2:$B$103,
          MAX(IF($A$2:$A63=1,ROW($A$2:$A63)-ROW($A$2)+1))
    )
    &amp; "."
    &amp;
    COUNTIF(
        INDEX($A$2:$A63,
              MAX(IF($A$2:$A63=1,ROW($A$2:$A63)-ROW($A$2)+1))
        ):$A63,
        2
    ),
IF($A63=3,
    INDEX($B$2:$B$103,
          MAX(IF($A$2:$A63=2,ROW($A$2:$A63)-ROW($A$2)+1))
    )
    &amp; "."
    &amp;
    COUNTIF(
        INDEX($A$2:$A63,
              MAX(IF($A$2:$A63=2,ROW($A$2:$A63)-ROW($A$2)+1))
        ):$A63,
        3
    ),
IF($A63=4,
    INDEX($B$2:$B$103,
          MAX(IF($A$2:$A63=3,ROW($A$2:$A63)-ROW($A$2)+1))
    )
    &amp; "."
    &amp;
    COUNTIF(
        INDEX($A$2:$A63,
              MAX(IF($A$2:$A63=3,ROW($A$2:$A63)-ROW($A$2)+1))
        ):$A63,
        4
    ),
""))))</f>
        <v>6.1</v>
      </c>
      <c r="C63" s="27" t="s">
        <v>38</v>
      </c>
      <c r="D63" s="1" t="s">
        <v>196</v>
      </c>
      <c r="E63" s="1" t="s">
        <v>45</v>
      </c>
      <c r="F63" s="1" t="s">
        <v>9</v>
      </c>
      <c r="G63" s="27" t="s">
        <v>55</v>
      </c>
    </row>
    <row r="64" spans="1:7" x14ac:dyDescent="0.25">
      <c r="A64" s="28">
        <v>2</v>
      </c>
      <c r="B64" s="1" t="str" cm="1">
        <f t="array" ref="B64">IF($A64=1,
    COUNTIF($A$2:$A64,1),
IF($A64=2,
    INDEX($B$2:$B$103,
          MAX(IF($A$2:$A64=1,ROW($A$2:$A64)-ROW($A$2)+1))
    )
    &amp; "."
    &amp;
    COUNTIF(
        INDEX($A$2:$A64,
              MAX(IF($A$2:$A64=1,ROW($A$2:$A64)-ROW($A$2)+1))
        ):$A64,
        2
    ),
IF($A64=3,
    INDEX($B$2:$B$103,
          MAX(IF($A$2:$A64=2,ROW($A$2:$A64)-ROW($A$2)+1))
    )
    &amp; "."
    &amp;
    COUNTIF(
        INDEX($A$2:$A64,
              MAX(IF($A$2:$A64=2,ROW($A$2:$A64)-ROW($A$2)+1))
        ):$A64,
        3
    ),
IF($A64=4,
    INDEX($B$2:$B$103,
          MAX(IF($A$2:$A64=3,ROW($A$2:$A64)-ROW($A$2)+1))
    )
    &amp; "."
    &amp;
    COUNTIF(
        INDEX($A$2:$A64,
              MAX(IF($A$2:$A64=3,ROW($A$2:$A64)-ROW($A$2)+1))
        ):$A64,
        4
    ),
""))))</f>
        <v>6.2</v>
      </c>
      <c r="C64" s="27" t="s">
        <v>39</v>
      </c>
      <c r="D64" s="1" t="s">
        <v>200</v>
      </c>
      <c r="E64" s="1" t="s">
        <v>45</v>
      </c>
      <c r="F64" s="1" t="s">
        <v>9</v>
      </c>
      <c r="G64" s="27" t="s">
        <v>56</v>
      </c>
    </row>
    <row r="65" spans="1:7" x14ac:dyDescent="0.25">
      <c r="A65" s="28">
        <v>2</v>
      </c>
      <c r="B65" s="1" t="str" cm="1">
        <f t="array" ref="B65">IF($A65=1,
    COUNTIF($A$2:$A65,1),
IF($A65=2,
    INDEX($B$2:$B$103,
          MAX(IF($A$2:$A65=1,ROW($A$2:$A65)-ROW($A$2)+1))
    )
    &amp; "."
    &amp;
    COUNTIF(
        INDEX($A$2:$A65,
              MAX(IF($A$2:$A65=1,ROW($A$2:$A65)-ROW($A$2)+1))
        ):$A65,
        2
    ),
IF($A65=3,
    INDEX($B$2:$B$103,
          MAX(IF($A$2:$A65=2,ROW($A$2:$A65)-ROW($A$2)+1))
    )
    &amp; "."
    &amp;
    COUNTIF(
        INDEX($A$2:$A65,
              MAX(IF($A$2:$A65=2,ROW($A$2:$A65)-ROW($A$2)+1))
        ):$A65,
        3
    ),
IF($A65=4,
    INDEX($B$2:$B$103,
          MAX(IF($A$2:$A65=3,ROW($A$2:$A65)-ROW($A$2)+1))
    )
    &amp; "."
    &amp;
    COUNTIF(
        INDEX($A$2:$A65,
              MAX(IF($A$2:$A65=3,ROW($A$2:$A65)-ROW($A$2)+1))
        ):$A65,
        4
    ),
""))))</f>
        <v>6.3</v>
      </c>
      <c r="C65" s="27" t="s">
        <v>40</v>
      </c>
      <c r="D65" s="1" t="s">
        <v>196</v>
      </c>
      <c r="E65" s="1" t="s">
        <v>45</v>
      </c>
      <c r="F65" s="1" t="s">
        <v>9</v>
      </c>
      <c r="G65" s="27" t="s">
        <v>57</v>
      </c>
    </row>
    <row r="66" spans="1:7" x14ac:dyDescent="0.25">
      <c r="A66" s="1"/>
      <c r="B66" s="1" t="str" cm="1">
        <f t="array" ref="B66">IF($A66=1,
    COUNTIF($A$2:$A66,1),
IF($A66=2,
    INDEX($B$2:$B$103,
          MAX(IF($A$2:$A66=1,ROW($A$2:$A66)-ROW($A$2)+1))
    )
    &amp; "."
    &amp;
    COUNTIF(
        INDEX($A$2:$A66,
              MAX(IF($A$2:$A66=1,ROW($A$2:$A66)-ROW($A$2)+1))
        ):$A66,
        2
    ),
IF($A66=3,
    INDEX($B$2:$B$103,
          MAX(IF($A$2:$A66=2,ROW($A$2:$A66)-ROW($A$2)+1))
    )
    &amp; "."
    &amp;
    COUNTIF(
        INDEX($A$2:$A66,
              MAX(IF($A$2:$A66=2,ROW($A$2:$A66)-ROW($A$2)+1))
        ):$A66,
        3
    ),
IF($A66=4,
    INDEX($B$2:$B$103,
          MAX(IF($A$2:$A66=3,ROW($A$2:$A66)-ROW($A$2)+1))
    )
    &amp; "."
    &amp;
    COUNTIF(
        INDEX($A$2:$A66,
              MAX(IF($A$2:$A66=3,ROW($A$2:$A66)-ROW($A$2)+1))
        ):$A66,
        4
    ),
""))))</f>
        <v/>
      </c>
      <c r="C66" s="27"/>
      <c r="D66" s="1"/>
      <c r="E66" s="1"/>
      <c r="F66" s="1"/>
      <c r="G66" s="27"/>
    </row>
  </sheetData>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 operator="equal" id="{07DD124C-EABB-4315-A27E-B2C71D4013C7}">
            <xm:f>Status!$A$7</xm:f>
            <x14:dxf>
              <fill>
                <patternFill>
                  <bgColor theme="3" tint="0.39994506668294322"/>
                </patternFill>
              </fill>
            </x14:dxf>
          </x14:cfRule>
          <x14:cfRule type="cellIs" priority="2" operator="equal" id="{64E1E68C-A092-414C-8DE5-3A6D4D1ED2FA}">
            <xm:f>Status!$A$6</xm:f>
            <x14:dxf>
              <fill>
                <patternFill>
                  <bgColor rgb="FF10C08A"/>
                </patternFill>
              </fill>
            </x14:dxf>
          </x14:cfRule>
          <x14:cfRule type="cellIs" priority="3" operator="equal" id="{CAE39CA1-184A-4B24-84A6-1BA45133797F}">
            <xm:f>Status!$A$5</xm:f>
            <x14:dxf>
              <fill>
                <patternFill>
                  <bgColor rgb="FFFFFF99"/>
                </patternFill>
              </fill>
            </x14:dxf>
          </x14:cfRule>
          <x14:cfRule type="cellIs" priority="4" operator="equal" id="{B29BA221-788B-4C56-9E50-D2C40BB00336}">
            <xm:f>Status!$A$4</xm:f>
            <x14:dxf>
              <font>
                <color theme="0"/>
              </font>
              <fill>
                <patternFill patternType="solid">
                  <bgColor rgb="FFFF0000"/>
                </patternFill>
              </fill>
            </x14:dxf>
          </x14:cfRule>
          <x14:cfRule type="cellIs" priority="5" operator="equal" id="{D47EBB00-D067-41A9-B23F-1CA60D87EC60}">
            <xm:f>Status!$A$3</xm:f>
            <x14:dxf>
              <fill>
                <patternFill>
                  <bgColor theme="8" tint="0.59996337778862885"/>
                </patternFill>
              </fill>
            </x14:dxf>
          </x14:cfRule>
          <x14:cfRule type="cellIs" priority="6" operator="equal" id="{96504244-8A83-4586-87DE-DCEE1BAB1A07}">
            <xm:f>Status!$A$2</xm:f>
            <x14:dxf>
              <fill>
                <patternFill>
                  <bgColor rgb="FFDDDDDD"/>
                </patternFill>
              </fill>
            </x14:dxf>
          </x14:cfRule>
          <x14:cfRule type="cellIs" priority="7" operator="equal" id="{B73FB6BC-4C8E-4E5E-B881-A304F71F633D}">
            <xm:f>Status!$A$8</xm:f>
            <x14:dxf>
              <font>
                <color theme="0"/>
              </font>
              <fill>
                <patternFill>
                  <bgColor theme="1"/>
                </patternFill>
              </fill>
            </x14:dxf>
          </x14:cfRule>
          <xm:sqref>D2:D66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C6330050-DB43-44FE-8D95-54817E8CC47D}">
          <x14:formula1>
            <xm:f>Status!$A$2:$A$9</xm:f>
          </x14:formula1>
          <xm:sqref>D2:D66</xm:sqref>
        </x14:dataValidation>
        <x14:dataValidation type="list" allowBlank="1" showInputMessage="1" showErrorMessage="1" xr:uid="{C0973A3E-CC9E-46B5-BD54-46FD73433FB0}">
          <x14:formula1>
            <xm:f>Org!$A$2:$A$6</xm:f>
          </x14:formula1>
          <xm:sqref>E2:E66</xm:sqref>
        </x14:dataValidation>
        <x14:dataValidation type="list" allowBlank="1" showInputMessage="1" showErrorMessage="1" xr:uid="{45CE672C-0FFF-4F42-951C-1326EB409CC5}">
          <x14:formula1>
            <xm:f>Org!$B$2:$B$7</xm:f>
          </x14:formula1>
          <xm:sqref>F2:F66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4BE3-8DF0-4ABC-828F-8948197E4A5A}">
  <dimension ref="A1:B9"/>
  <sheetViews>
    <sheetView workbookViewId="0">
      <selection activeCell="B10" sqref="B10"/>
    </sheetView>
  </sheetViews>
  <sheetFormatPr defaultColWidth="133.85546875" defaultRowHeight="15" x14ac:dyDescent="0.25"/>
  <cols>
    <col min="1" max="1" width="29.7109375" bestFit="1" customWidth="1"/>
    <col min="2" max="2" width="63.42578125" bestFit="1" customWidth="1"/>
  </cols>
  <sheetData>
    <row r="1" spans="1:2" x14ac:dyDescent="0.25">
      <c r="A1" s="23" t="s">
        <v>110</v>
      </c>
      <c r="B1" s="23" t="s">
        <v>188</v>
      </c>
    </row>
    <row r="2" spans="1:2" x14ac:dyDescent="0.25">
      <c r="A2" s="24" t="s">
        <v>196</v>
      </c>
      <c r="B2" s="10" t="s">
        <v>189</v>
      </c>
    </row>
    <row r="3" spans="1:2" x14ac:dyDescent="0.25">
      <c r="A3" s="24" t="s">
        <v>197</v>
      </c>
      <c r="B3" s="10" t="s">
        <v>190</v>
      </c>
    </row>
    <row r="4" spans="1:2" x14ac:dyDescent="0.25">
      <c r="A4" s="24" t="s">
        <v>198</v>
      </c>
      <c r="B4" s="10" t="s">
        <v>191</v>
      </c>
    </row>
    <row r="5" spans="1:2" x14ac:dyDescent="0.25">
      <c r="A5" s="24" t="s">
        <v>199</v>
      </c>
      <c r="B5" s="10" t="s">
        <v>192</v>
      </c>
    </row>
    <row r="6" spans="1:2" x14ac:dyDescent="0.25">
      <c r="A6" s="24" t="s">
        <v>200</v>
      </c>
      <c r="B6" s="10" t="s">
        <v>193</v>
      </c>
    </row>
    <row r="7" spans="1:2" x14ac:dyDescent="0.25">
      <c r="A7" s="24" t="s">
        <v>201</v>
      </c>
      <c r="B7" s="10" t="s">
        <v>194</v>
      </c>
    </row>
    <row r="8" spans="1:2" x14ac:dyDescent="0.25">
      <c r="A8" s="24" t="s">
        <v>202</v>
      </c>
      <c r="B8" s="10" t="s">
        <v>195</v>
      </c>
    </row>
    <row r="9" spans="1:2" x14ac:dyDescent="0.25">
      <c r="A9" s="24" t="s">
        <v>354</v>
      </c>
      <c r="B9" s="10" t="s">
        <v>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11EBF-0D79-44BB-98B7-58B142F81785}">
  <dimension ref="A1:B7"/>
  <sheetViews>
    <sheetView workbookViewId="0">
      <selection activeCell="C36" sqref="C36"/>
    </sheetView>
  </sheetViews>
  <sheetFormatPr defaultRowHeight="15" x14ac:dyDescent="0.25"/>
  <cols>
    <col min="2" max="2" width="22.5703125" bestFit="1" customWidth="1"/>
  </cols>
  <sheetData>
    <row r="1" spans="1:2" x14ac:dyDescent="0.25">
      <c r="A1" s="26" t="s">
        <v>203</v>
      </c>
      <c r="B1" s="26" t="s">
        <v>204</v>
      </c>
    </row>
    <row r="2" spans="1:2" x14ac:dyDescent="0.25">
      <c r="A2" t="s">
        <v>41</v>
      </c>
      <c r="B2" t="s">
        <v>46</v>
      </c>
    </row>
    <row r="3" spans="1:2" x14ac:dyDescent="0.25">
      <c r="A3" t="s">
        <v>42</v>
      </c>
      <c r="B3" t="s">
        <v>6</v>
      </c>
    </row>
    <row r="4" spans="1:2" x14ac:dyDescent="0.25">
      <c r="A4" t="s">
        <v>43</v>
      </c>
      <c r="B4" t="s">
        <v>7</v>
      </c>
    </row>
    <row r="5" spans="1:2" x14ac:dyDescent="0.25">
      <c r="A5" t="s">
        <v>44</v>
      </c>
      <c r="B5" t="s">
        <v>47</v>
      </c>
    </row>
    <row r="6" spans="1:2" x14ac:dyDescent="0.25">
      <c r="A6" t="s">
        <v>45</v>
      </c>
      <c r="B6" t="s">
        <v>8</v>
      </c>
    </row>
    <row r="7" spans="1:2" x14ac:dyDescent="0.25">
      <c r="A7" t="s">
        <v>45</v>
      </c>
      <c r="B7"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320A-2434-46D7-935C-4239E7DE696F}">
  <dimension ref="A1:D65"/>
  <sheetViews>
    <sheetView topLeftCell="A49" workbookViewId="0">
      <selection activeCell="A4" sqref="A4:D65"/>
    </sheetView>
  </sheetViews>
  <sheetFormatPr defaultRowHeight="15" x14ac:dyDescent="0.25"/>
  <cols>
    <col min="1" max="1" width="64.85546875" customWidth="1"/>
    <col min="2" max="2" width="11.5703125" bestFit="1" customWidth="1"/>
    <col min="3" max="3" width="10.28515625" bestFit="1" customWidth="1"/>
    <col min="4" max="4" width="10.140625" bestFit="1" customWidth="1"/>
  </cols>
  <sheetData>
    <row r="1" spans="1:4" x14ac:dyDescent="0.25">
      <c r="A1" s="31" t="s">
        <v>270</v>
      </c>
    </row>
    <row r="2" spans="1:4" x14ac:dyDescent="0.25">
      <c r="A2" s="31" t="s">
        <v>271</v>
      </c>
    </row>
    <row r="3" spans="1:4" x14ac:dyDescent="0.25">
      <c r="A3" s="31" t="s">
        <v>272</v>
      </c>
    </row>
    <row r="4" spans="1:4" x14ac:dyDescent="0.25">
      <c r="A4" s="31" t="s">
        <v>273</v>
      </c>
      <c r="B4" t="s">
        <v>336</v>
      </c>
      <c r="C4" t="s">
        <v>337</v>
      </c>
      <c r="D4" t="s">
        <v>338</v>
      </c>
    </row>
    <row r="5" spans="1:4" x14ac:dyDescent="0.25">
      <c r="A5" s="31" t="s">
        <v>274</v>
      </c>
      <c r="B5" t="s">
        <v>340</v>
      </c>
      <c r="C5" t="s">
        <v>340</v>
      </c>
      <c r="D5" t="s">
        <v>340</v>
      </c>
    </row>
    <row r="6" spans="1:4" x14ac:dyDescent="0.25">
      <c r="A6" s="31" t="s">
        <v>275</v>
      </c>
      <c r="B6" t="s">
        <v>340</v>
      </c>
      <c r="C6" t="s">
        <v>340</v>
      </c>
      <c r="D6" t="s">
        <v>340</v>
      </c>
    </row>
    <row r="7" spans="1:4" x14ac:dyDescent="0.25">
      <c r="A7" s="31" t="s">
        <v>276</v>
      </c>
      <c r="B7" t="s">
        <v>340</v>
      </c>
      <c r="C7" t="s">
        <v>340</v>
      </c>
      <c r="D7" t="s">
        <v>340</v>
      </c>
    </row>
    <row r="8" spans="1:4" x14ac:dyDescent="0.25">
      <c r="A8" s="31" t="s">
        <v>277</v>
      </c>
      <c r="B8" t="s">
        <v>340</v>
      </c>
      <c r="C8" t="s">
        <v>340</v>
      </c>
      <c r="D8" t="s">
        <v>340</v>
      </c>
    </row>
    <row r="9" spans="1:4" x14ac:dyDescent="0.25">
      <c r="A9" s="31" t="s">
        <v>278</v>
      </c>
      <c r="B9" t="s">
        <v>340</v>
      </c>
      <c r="C9" s="32" t="s">
        <v>335</v>
      </c>
      <c r="D9" s="32" t="s">
        <v>335</v>
      </c>
    </row>
    <row r="10" spans="1:4" x14ac:dyDescent="0.25">
      <c r="A10" s="31" t="s">
        <v>279</v>
      </c>
      <c r="B10" t="s">
        <v>340</v>
      </c>
      <c r="C10" s="32" t="s">
        <v>335</v>
      </c>
      <c r="D10" s="32" t="s">
        <v>335</v>
      </c>
    </row>
    <row r="11" spans="1:4" x14ac:dyDescent="0.25">
      <c r="A11" s="31" t="s">
        <v>280</v>
      </c>
      <c r="B11" t="s">
        <v>340</v>
      </c>
      <c r="C11" s="32" t="s">
        <v>335</v>
      </c>
      <c r="D11" s="32" t="s">
        <v>335</v>
      </c>
    </row>
    <row r="12" spans="1:4" x14ac:dyDescent="0.25">
      <c r="A12" s="31" t="s">
        <v>281</v>
      </c>
      <c r="B12" t="s">
        <v>340</v>
      </c>
      <c r="C12" s="32" t="s">
        <v>335</v>
      </c>
      <c r="D12" s="32" t="s">
        <v>335</v>
      </c>
    </row>
    <row r="13" spans="1:4" x14ac:dyDescent="0.25">
      <c r="A13" s="31" t="s">
        <v>282</v>
      </c>
      <c r="B13" t="s">
        <v>339</v>
      </c>
      <c r="C13" t="s">
        <v>340</v>
      </c>
      <c r="D13" t="s">
        <v>340</v>
      </c>
    </row>
    <row r="14" spans="1:4" x14ac:dyDescent="0.25">
      <c r="A14" s="31" t="s">
        <v>283</v>
      </c>
      <c r="B14" t="s">
        <v>339</v>
      </c>
      <c r="C14" t="s">
        <v>340</v>
      </c>
      <c r="D14" s="32" t="s">
        <v>335</v>
      </c>
    </row>
    <row r="15" spans="1:4" x14ac:dyDescent="0.25">
      <c r="A15" s="31" t="s">
        <v>284</v>
      </c>
      <c r="B15" t="s">
        <v>339</v>
      </c>
      <c r="C15" t="s">
        <v>340</v>
      </c>
      <c r="D15" t="s">
        <v>340</v>
      </c>
    </row>
    <row r="16" spans="1:4" x14ac:dyDescent="0.25">
      <c r="A16" s="31" t="s">
        <v>285</v>
      </c>
      <c r="B16" t="s">
        <v>339</v>
      </c>
      <c r="C16" t="s">
        <v>340</v>
      </c>
      <c r="D16" s="32" t="s">
        <v>335</v>
      </c>
    </row>
    <row r="17" spans="1:4" x14ac:dyDescent="0.25">
      <c r="A17" s="31" t="s">
        <v>286</v>
      </c>
      <c r="B17" t="s">
        <v>339</v>
      </c>
      <c r="C17" t="s">
        <v>340</v>
      </c>
      <c r="D17" s="32" t="s">
        <v>335</v>
      </c>
    </row>
    <row r="18" spans="1:4" x14ac:dyDescent="0.25">
      <c r="A18" s="31" t="s">
        <v>287</v>
      </c>
      <c r="B18" t="s">
        <v>339</v>
      </c>
      <c r="C18" t="s">
        <v>340</v>
      </c>
      <c r="D18" s="32" t="s">
        <v>335</v>
      </c>
    </row>
    <row r="19" spans="1:4" x14ac:dyDescent="0.25">
      <c r="A19" s="31" t="s">
        <v>288</v>
      </c>
      <c r="B19" t="s">
        <v>339</v>
      </c>
      <c r="C19" t="s">
        <v>340</v>
      </c>
      <c r="D19" s="32" t="s">
        <v>335</v>
      </c>
    </row>
    <row r="20" spans="1:4" x14ac:dyDescent="0.25">
      <c r="A20" s="31" t="s">
        <v>289</v>
      </c>
      <c r="B20" t="s">
        <v>339</v>
      </c>
      <c r="C20" t="s">
        <v>339</v>
      </c>
      <c r="D20" t="s">
        <v>340</v>
      </c>
    </row>
    <row r="21" spans="1:4" x14ac:dyDescent="0.25">
      <c r="A21" s="31" t="s">
        <v>290</v>
      </c>
      <c r="B21" t="s">
        <v>339</v>
      </c>
      <c r="C21" t="s">
        <v>339</v>
      </c>
      <c r="D21" t="s">
        <v>340</v>
      </c>
    </row>
    <row r="22" spans="1:4" x14ac:dyDescent="0.25">
      <c r="A22" s="31" t="s">
        <v>291</v>
      </c>
      <c r="B22" t="s">
        <v>339</v>
      </c>
      <c r="C22" t="s">
        <v>339</v>
      </c>
      <c r="D22" t="s">
        <v>340</v>
      </c>
    </row>
    <row r="23" spans="1:4" x14ac:dyDescent="0.25">
      <c r="A23" s="31" t="s">
        <v>292</v>
      </c>
      <c r="B23" t="s">
        <v>339</v>
      </c>
      <c r="C23" t="s">
        <v>339</v>
      </c>
      <c r="D23" t="s">
        <v>340</v>
      </c>
    </row>
    <row r="24" spans="1:4" x14ac:dyDescent="0.25">
      <c r="A24" s="31" t="s">
        <v>293</v>
      </c>
      <c r="B24" t="s">
        <v>339</v>
      </c>
      <c r="C24" t="s">
        <v>339</v>
      </c>
      <c r="D24" t="s">
        <v>340</v>
      </c>
    </row>
    <row r="25" spans="1:4" x14ac:dyDescent="0.25">
      <c r="A25" s="31" t="s">
        <v>294</v>
      </c>
      <c r="B25" t="s">
        <v>339</v>
      </c>
      <c r="C25" t="s">
        <v>339</v>
      </c>
      <c r="D25" t="s">
        <v>340</v>
      </c>
    </row>
    <row r="26" spans="1:4" x14ac:dyDescent="0.25">
      <c r="A26" s="31" t="s">
        <v>295</v>
      </c>
      <c r="B26" t="s">
        <v>339</v>
      </c>
      <c r="C26" t="s">
        <v>339</v>
      </c>
      <c r="D26" t="s">
        <v>340</v>
      </c>
    </row>
    <row r="27" spans="1:4" x14ac:dyDescent="0.25">
      <c r="A27" s="31" t="s">
        <v>296</v>
      </c>
      <c r="B27" t="s">
        <v>339</v>
      </c>
      <c r="C27" t="s">
        <v>339</v>
      </c>
      <c r="D27" t="s">
        <v>340</v>
      </c>
    </row>
    <row r="28" spans="1:4" x14ac:dyDescent="0.25">
      <c r="A28" s="31" t="s">
        <v>297</v>
      </c>
      <c r="B28" t="s">
        <v>339</v>
      </c>
      <c r="C28" t="s">
        <v>339</v>
      </c>
      <c r="D28" t="s">
        <v>340</v>
      </c>
    </row>
    <row r="29" spans="1:4" x14ac:dyDescent="0.25">
      <c r="A29" s="31" t="s">
        <v>298</v>
      </c>
      <c r="B29" t="s">
        <v>339</v>
      </c>
      <c r="C29" t="s">
        <v>339</v>
      </c>
      <c r="D29" t="s">
        <v>340</v>
      </c>
    </row>
    <row r="30" spans="1:4" x14ac:dyDescent="0.25">
      <c r="A30" s="31" t="s">
        <v>299</v>
      </c>
      <c r="B30" t="s">
        <v>339</v>
      </c>
      <c r="C30" t="s">
        <v>339</v>
      </c>
      <c r="D30" t="s">
        <v>340</v>
      </c>
    </row>
    <row r="31" spans="1:4" x14ac:dyDescent="0.25">
      <c r="A31" s="31" t="s">
        <v>300</v>
      </c>
      <c r="B31" t="s">
        <v>339</v>
      </c>
      <c r="C31" t="s">
        <v>339</v>
      </c>
      <c r="D31" t="s">
        <v>340</v>
      </c>
    </row>
    <row r="32" spans="1:4" x14ac:dyDescent="0.25">
      <c r="A32" s="31" t="s">
        <v>301</v>
      </c>
      <c r="B32" t="s">
        <v>339</v>
      </c>
      <c r="C32" t="s">
        <v>339</v>
      </c>
      <c r="D32" t="s">
        <v>340</v>
      </c>
    </row>
    <row r="33" spans="1:4" x14ac:dyDescent="0.25">
      <c r="A33" s="31" t="s">
        <v>302</v>
      </c>
      <c r="B33" t="s">
        <v>339</v>
      </c>
      <c r="C33" t="s">
        <v>339</v>
      </c>
      <c r="D33" t="s">
        <v>340</v>
      </c>
    </row>
    <row r="34" spans="1:4" x14ac:dyDescent="0.25">
      <c r="A34" s="31" t="s">
        <v>303</v>
      </c>
      <c r="B34" t="s">
        <v>340</v>
      </c>
      <c r="C34" s="32" t="s">
        <v>335</v>
      </c>
      <c r="D34" s="32" t="s">
        <v>335</v>
      </c>
    </row>
    <row r="35" spans="1:4" x14ac:dyDescent="0.25">
      <c r="A35" s="31" t="s">
        <v>304</v>
      </c>
      <c r="B35" t="s">
        <v>340</v>
      </c>
      <c r="C35" t="s">
        <v>339</v>
      </c>
      <c r="D35" t="s">
        <v>339</v>
      </c>
    </row>
    <row r="36" spans="1:4" x14ac:dyDescent="0.25">
      <c r="A36" s="31" t="s">
        <v>305</v>
      </c>
      <c r="B36" t="s">
        <v>340</v>
      </c>
      <c r="C36" s="32" t="s">
        <v>335</v>
      </c>
      <c r="D36" s="32" t="s">
        <v>335</v>
      </c>
    </row>
    <row r="37" spans="1:4" x14ac:dyDescent="0.25">
      <c r="A37" s="31" t="s">
        <v>306</v>
      </c>
      <c r="B37" t="s">
        <v>340</v>
      </c>
      <c r="C37" s="32" t="s">
        <v>335</v>
      </c>
      <c r="D37" s="32" t="s">
        <v>335</v>
      </c>
    </row>
    <row r="38" spans="1:4" x14ac:dyDescent="0.25">
      <c r="A38" s="31" t="s">
        <v>307</v>
      </c>
      <c r="B38" t="s">
        <v>340</v>
      </c>
      <c r="C38" t="s">
        <v>340</v>
      </c>
      <c r="D38" t="s">
        <v>340</v>
      </c>
    </row>
    <row r="39" spans="1:4" x14ac:dyDescent="0.25">
      <c r="A39" s="31" t="s">
        <v>308</v>
      </c>
      <c r="B39" t="s">
        <v>340</v>
      </c>
      <c r="C39" t="s">
        <v>340</v>
      </c>
      <c r="D39" t="s">
        <v>339</v>
      </c>
    </row>
    <row r="40" spans="1:4" x14ac:dyDescent="0.25">
      <c r="A40" s="31" t="s">
        <v>309</v>
      </c>
      <c r="B40" t="s">
        <v>340</v>
      </c>
      <c r="C40" t="s">
        <v>340</v>
      </c>
      <c r="D40" t="s">
        <v>340</v>
      </c>
    </row>
    <row r="41" spans="1:4" x14ac:dyDescent="0.25">
      <c r="A41" s="31" t="s">
        <v>310</v>
      </c>
      <c r="B41" t="s">
        <v>340</v>
      </c>
      <c r="C41" t="s">
        <v>339</v>
      </c>
      <c r="D41" t="s">
        <v>339</v>
      </c>
    </row>
    <row r="42" spans="1:4" x14ac:dyDescent="0.25">
      <c r="A42" s="31" t="s">
        <v>311</v>
      </c>
      <c r="B42" t="s">
        <v>340</v>
      </c>
      <c r="C42" t="s">
        <v>339</v>
      </c>
      <c r="D42" t="s">
        <v>339</v>
      </c>
    </row>
    <row r="43" spans="1:4" x14ac:dyDescent="0.25">
      <c r="A43" s="31" t="s">
        <v>312</v>
      </c>
      <c r="B43" t="s">
        <v>340</v>
      </c>
      <c r="C43" s="32" t="s">
        <v>335</v>
      </c>
      <c r="D43" s="32" t="s">
        <v>335</v>
      </c>
    </row>
    <row r="44" spans="1:4" x14ac:dyDescent="0.25">
      <c r="A44" s="31" t="s">
        <v>313</v>
      </c>
      <c r="B44" t="s">
        <v>340</v>
      </c>
      <c r="C44" s="32" t="s">
        <v>335</v>
      </c>
      <c r="D44" s="32" t="s">
        <v>335</v>
      </c>
    </row>
    <row r="45" spans="1:4" x14ac:dyDescent="0.25">
      <c r="A45" s="31" t="s">
        <v>314</v>
      </c>
      <c r="B45" t="s">
        <v>340</v>
      </c>
      <c r="C45" s="32" t="s">
        <v>335</v>
      </c>
      <c r="D45" t="s">
        <v>340</v>
      </c>
    </row>
    <row r="46" spans="1:4" x14ac:dyDescent="0.25">
      <c r="A46" s="31" t="s">
        <v>315</v>
      </c>
      <c r="B46" t="s">
        <v>340</v>
      </c>
      <c r="C46" t="s">
        <v>339</v>
      </c>
      <c r="D46" t="s">
        <v>339</v>
      </c>
    </row>
    <row r="47" spans="1:4" x14ac:dyDescent="0.25">
      <c r="A47" s="31" t="s">
        <v>316</v>
      </c>
      <c r="B47" t="s">
        <v>340</v>
      </c>
      <c r="C47" s="32" t="s">
        <v>335</v>
      </c>
      <c r="D47" s="32" t="s">
        <v>335</v>
      </c>
    </row>
    <row r="48" spans="1:4" x14ac:dyDescent="0.25">
      <c r="A48" s="31" t="s">
        <v>317</v>
      </c>
      <c r="B48" t="s">
        <v>340</v>
      </c>
      <c r="C48" s="32" t="s">
        <v>335</v>
      </c>
      <c r="D48" s="32" t="s">
        <v>335</v>
      </c>
    </row>
    <row r="49" spans="1:4" x14ac:dyDescent="0.25">
      <c r="A49" s="31" t="s">
        <v>318</v>
      </c>
      <c r="B49" t="s">
        <v>340</v>
      </c>
      <c r="C49" s="32" t="s">
        <v>335</v>
      </c>
      <c r="D49" s="32" t="s">
        <v>335</v>
      </c>
    </row>
    <row r="50" spans="1:4" x14ac:dyDescent="0.25">
      <c r="A50" s="31" t="s">
        <v>319</v>
      </c>
      <c r="B50" t="s">
        <v>340</v>
      </c>
      <c r="C50" t="s">
        <v>340</v>
      </c>
      <c r="D50" t="s">
        <v>340</v>
      </c>
    </row>
    <row r="51" spans="1:4" x14ac:dyDescent="0.25">
      <c r="A51" s="31" t="s">
        <v>320</v>
      </c>
      <c r="B51" t="s">
        <v>340</v>
      </c>
      <c r="C51" t="s">
        <v>340</v>
      </c>
      <c r="D51" t="s">
        <v>340</v>
      </c>
    </row>
    <row r="52" spans="1:4" x14ac:dyDescent="0.25">
      <c r="A52" s="31" t="s">
        <v>321</v>
      </c>
      <c r="B52" t="s">
        <v>340</v>
      </c>
      <c r="C52" t="s">
        <v>339</v>
      </c>
      <c r="D52" t="s">
        <v>339</v>
      </c>
    </row>
    <row r="53" spans="1:4" x14ac:dyDescent="0.25">
      <c r="A53" s="31" t="s">
        <v>322</v>
      </c>
      <c r="B53" t="s">
        <v>339</v>
      </c>
      <c r="C53" t="s">
        <v>340</v>
      </c>
      <c r="D53" s="32" t="s">
        <v>335</v>
      </c>
    </row>
    <row r="54" spans="1:4" x14ac:dyDescent="0.25">
      <c r="A54" s="31" t="s">
        <v>323</v>
      </c>
      <c r="B54" t="s">
        <v>339</v>
      </c>
      <c r="C54" t="s">
        <v>340</v>
      </c>
      <c r="D54" s="32" t="s">
        <v>335</v>
      </c>
    </row>
    <row r="55" spans="1:4" x14ac:dyDescent="0.25">
      <c r="A55" s="31" t="s">
        <v>324</v>
      </c>
      <c r="B55" t="s">
        <v>339</v>
      </c>
      <c r="C55" t="s">
        <v>340</v>
      </c>
      <c r="D55" s="32" t="s">
        <v>335</v>
      </c>
    </row>
    <row r="56" spans="1:4" x14ac:dyDescent="0.25">
      <c r="A56" s="31" t="s">
        <v>325</v>
      </c>
      <c r="B56" t="s">
        <v>339</v>
      </c>
      <c r="C56" t="s">
        <v>340</v>
      </c>
      <c r="D56" s="32" t="s">
        <v>335</v>
      </c>
    </row>
    <row r="57" spans="1:4" x14ac:dyDescent="0.25">
      <c r="A57" s="31" t="s">
        <v>326</v>
      </c>
      <c r="B57" t="s">
        <v>339</v>
      </c>
      <c r="C57" t="s">
        <v>340</v>
      </c>
      <c r="D57" s="32" t="s">
        <v>335</v>
      </c>
    </row>
    <row r="58" spans="1:4" x14ac:dyDescent="0.25">
      <c r="A58" s="31" t="s">
        <v>327</v>
      </c>
      <c r="B58" t="s">
        <v>339</v>
      </c>
      <c r="C58" t="s">
        <v>340</v>
      </c>
      <c r="D58" s="32" t="s">
        <v>335</v>
      </c>
    </row>
    <row r="59" spans="1:4" x14ac:dyDescent="0.25">
      <c r="A59" s="31" t="s">
        <v>328</v>
      </c>
      <c r="B59" t="s">
        <v>339</v>
      </c>
      <c r="C59" t="s">
        <v>340</v>
      </c>
      <c r="D59" s="32" t="s">
        <v>335</v>
      </c>
    </row>
    <row r="60" spans="1:4" x14ac:dyDescent="0.25">
      <c r="A60" s="31" t="s">
        <v>329</v>
      </c>
      <c r="B60" t="s">
        <v>339</v>
      </c>
      <c r="C60" t="s">
        <v>340</v>
      </c>
      <c r="D60" s="32" t="s">
        <v>335</v>
      </c>
    </row>
    <row r="61" spans="1:4" x14ac:dyDescent="0.25">
      <c r="A61" s="31" t="s">
        <v>330</v>
      </c>
      <c r="B61" t="s">
        <v>339</v>
      </c>
      <c r="C61" t="s">
        <v>340</v>
      </c>
      <c r="D61" s="32" t="s">
        <v>335</v>
      </c>
    </row>
    <row r="62" spans="1:4" x14ac:dyDescent="0.25">
      <c r="A62" s="31" t="s">
        <v>331</v>
      </c>
      <c r="B62" t="s">
        <v>339</v>
      </c>
      <c r="C62" t="s">
        <v>340</v>
      </c>
      <c r="D62" s="32" t="s">
        <v>335</v>
      </c>
    </row>
    <row r="63" spans="1:4" x14ac:dyDescent="0.25">
      <c r="A63" s="31" t="s">
        <v>332</v>
      </c>
      <c r="B63" t="s">
        <v>339</v>
      </c>
      <c r="C63" t="s">
        <v>340</v>
      </c>
      <c r="D63" s="32" t="s">
        <v>335</v>
      </c>
    </row>
    <row r="64" spans="1:4" x14ac:dyDescent="0.25">
      <c r="A64" s="31" t="s">
        <v>333</v>
      </c>
      <c r="B64" t="s">
        <v>339</v>
      </c>
      <c r="C64" t="s">
        <v>340</v>
      </c>
      <c r="D64" s="32" t="s">
        <v>335</v>
      </c>
    </row>
    <row r="65" spans="1:4" x14ac:dyDescent="0.25">
      <c r="A65" s="31" t="s">
        <v>334</v>
      </c>
      <c r="B65" t="s">
        <v>339</v>
      </c>
      <c r="C65" t="s">
        <v>340</v>
      </c>
      <c r="D65" s="32" t="s">
        <v>335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DBC30-7E9E-499A-AD94-78DAC2B3C4E8}">
  <dimension ref="A1:G29"/>
  <sheetViews>
    <sheetView workbookViewId="0">
      <selection sqref="A1:G29"/>
    </sheetView>
  </sheetViews>
  <sheetFormatPr defaultRowHeight="15" x14ac:dyDescent="0.25"/>
  <sheetData>
    <row r="1" spans="1:7" ht="21" thickBot="1" x14ac:dyDescent="0.3">
      <c r="A1" s="33" t="s">
        <v>59</v>
      </c>
      <c r="B1" s="34"/>
      <c r="C1" s="34"/>
      <c r="D1" s="34"/>
      <c r="E1" s="34"/>
      <c r="F1" s="34"/>
      <c r="G1" s="35"/>
    </row>
    <row r="2" spans="1:7" ht="30.75" thickBot="1" x14ac:dyDescent="0.3">
      <c r="A2" s="2" t="s">
        <v>60</v>
      </c>
      <c r="B2" s="2" t="s">
        <v>61</v>
      </c>
      <c r="C2" s="2" t="s">
        <v>62</v>
      </c>
      <c r="D2" s="3" t="s">
        <v>63</v>
      </c>
      <c r="E2" s="4" t="s">
        <v>64</v>
      </c>
      <c r="F2" s="4" t="s">
        <v>65</v>
      </c>
      <c r="G2" s="4" t="s">
        <v>66</v>
      </c>
    </row>
    <row r="3" spans="1:7" ht="45.75" thickBot="1" x14ac:dyDescent="0.3">
      <c r="A3" s="5" t="s">
        <v>67</v>
      </c>
      <c r="B3" s="5" t="s">
        <v>68</v>
      </c>
      <c r="C3" s="6">
        <v>44450</v>
      </c>
      <c r="D3" s="7"/>
      <c r="E3" s="7"/>
      <c r="F3" s="7"/>
      <c r="G3" s="7"/>
    </row>
    <row r="4" spans="1:7" ht="45.75" thickBot="1" x14ac:dyDescent="0.3">
      <c r="A4" s="5" t="s">
        <v>69</v>
      </c>
      <c r="B4" s="5" t="s">
        <v>70</v>
      </c>
      <c r="C4" s="6">
        <v>44450</v>
      </c>
      <c r="D4" s="7"/>
      <c r="E4" s="7"/>
      <c r="F4" s="7"/>
      <c r="G4" s="7"/>
    </row>
    <row r="5" spans="1:7" ht="75.75" thickBot="1" x14ac:dyDescent="0.3">
      <c r="A5" s="5" t="s">
        <v>71</v>
      </c>
      <c r="B5" s="5" t="s">
        <v>72</v>
      </c>
      <c r="C5" s="6">
        <v>44450</v>
      </c>
      <c r="D5" s="7"/>
      <c r="E5" s="7"/>
      <c r="F5" s="7"/>
      <c r="G5" s="7"/>
    </row>
    <row r="6" spans="1:7" ht="30.75" thickBot="1" x14ac:dyDescent="0.3">
      <c r="A6" s="5" t="s">
        <v>73</v>
      </c>
      <c r="B6" s="5" t="s">
        <v>74</v>
      </c>
      <c r="C6" s="6">
        <v>44450</v>
      </c>
      <c r="D6" s="7"/>
      <c r="E6" s="7"/>
      <c r="F6" s="7"/>
      <c r="G6" s="7"/>
    </row>
    <row r="7" spans="1:7" ht="30.75" thickBot="1" x14ac:dyDescent="0.3">
      <c r="A7" s="5" t="s">
        <v>75</v>
      </c>
      <c r="B7" s="5" t="s">
        <v>76</v>
      </c>
      <c r="C7" s="6">
        <v>44450</v>
      </c>
      <c r="D7" s="7"/>
      <c r="E7" s="7"/>
      <c r="F7" s="7"/>
      <c r="G7" s="7"/>
    </row>
    <row r="8" spans="1:7" ht="30.75" thickBot="1" x14ac:dyDescent="0.3">
      <c r="A8" s="5" t="s">
        <v>77</v>
      </c>
      <c r="B8" s="5" t="s">
        <v>78</v>
      </c>
      <c r="C8" s="6">
        <v>44450</v>
      </c>
      <c r="D8" s="7"/>
      <c r="E8" s="7"/>
      <c r="F8" s="7"/>
      <c r="G8" s="7"/>
    </row>
    <row r="9" spans="1:7" ht="30.75" thickBot="1" x14ac:dyDescent="0.3">
      <c r="A9" s="5" t="s">
        <v>79</v>
      </c>
      <c r="B9" s="5" t="s">
        <v>80</v>
      </c>
      <c r="C9" s="6">
        <v>44450</v>
      </c>
      <c r="D9" s="7"/>
      <c r="E9" s="7"/>
      <c r="F9" s="7"/>
      <c r="G9" s="7"/>
    </row>
    <row r="10" spans="1:7" ht="30.75" thickBot="1" x14ac:dyDescent="0.3">
      <c r="A10" s="5" t="s">
        <v>81</v>
      </c>
      <c r="B10" s="5" t="s">
        <v>82</v>
      </c>
      <c r="C10" s="6">
        <v>44450</v>
      </c>
      <c r="D10" s="7"/>
      <c r="E10" s="7"/>
      <c r="F10" s="7"/>
      <c r="G10" s="7"/>
    </row>
    <row r="11" spans="1:7" ht="30.75" thickBot="1" x14ac:dyDescent="0.3">
      <c r="A11" s="5" t="s">
        <v>83</v>
      </c>
      <c r="B11" s="5" t="s">
        <v>84</v>
      </c>
      <c r="C11" s="6">
        <v>44450</v>
      </c>
      <c r="D11" s="7"/>
      <c r="E11" s="7"/>
      <c r="F11" s="7"/>
      <c r="G11" s="7"/>
    </row>
    <row r="12" spans="1:7" ht="45.75" thickBot="1" x14ac:dyDescent="0.3">
      <c r="A12" s="5" t="s">
        <v>85</v>
      </c>
      <c r="B12" s="5" t="s">
        <v>86</v>
      </c>
      <c r="C12" s="6">
        <v>44450</v>
      </c>
      <c r="D12" s="7"/>
      <c r="E12" s="7"/>
      <c r="F12" s="7"/>
      <c r="G12" s="7"/>
    </row>
    <row r="13" spans="1:7" ht="75.75" thickBot="1" x14ac:dyDescent="0.3">
      <c r="A13" s="5" t="s">
        <v>87</v>
      </c>
      <c r="B13" s="5" t="s">
        <v>88</v>
      </c>
      <c r="C13" s="6">
        <v>44450</v>
      </c>
      <c r="D13" s="7"/>
      <c r="E13" s="7"/>
      <c r="F13" s="7"/>
      <c r="G13" s="7"/>
    </row>
    <row r="14" spans="1:7" ht="75.75" thickBot="1" x14ac:dyDescent="0.3">
      <c r="A14" s="5" t="s">
        <v>89</v>
      </c>
      <c r="B14" s="5" t="s">
        <v>90</v>
      </c>
      <c r="C14" s="6">
        <v>44450</v>
      </c>
      <c r="D14" s="7"/>
      <c r="E14" s="7"/>
      <c r="F14" s="7"/>
      <c r="G14" s="7"/>
    </row>
    <row r="15" spans="1:7" ht="75.75" thickBot="1" x14ac:dyDescent="0.3">
      <c r="A15" s="5" t="s">
        <v>91</v>
      </c>
      <c r="B15" s="5" t="s">
        <v>92</v>
      </c>
      <c r="C15" s="6">
        <v>44450</v>
      </c>
      <c r="D15" s="7"/>
      <c r="E15" s="7"/>
      <c r="F15" s="7"/>
      <c r="G15" s="7"/>
    </row>
    <row r="16" spans="1:7" ht="45.75" thickBot="1" x14ac:dyDescent="0.3">
      <c r="A16" s="5" t="s">
        <v>67</v>
      </c>
      <c r="B16" s="5" t="s">
        <v>93</v>
      </c>
      <c r="C16" s="7"/>
      <c r="D16" s="6">
        <v>44444</v>
      </c>
      <c r="E16" s="7"/>
      <c r="F16" s="7"/>
      <c r="G16" s="7"/>
    </row>
    <row r="17" spans="1:7" ht="45.75" thickBot="1" x14ac:dyDescent="0.3">
      <c r="A17" s="5" t="s">
        <v>69</v>
      </c>
      <c r="B17" s="5" t="s">
        <v>94</v>
      </c>
      <c r="C17" s="7"/>
      <c r="D17" s="6">
        <v>44444</v>
      </c>
      <c r="E17" s="7"/>
      <c r="F17" s="7"/>
      <c r="G17" s="7"/>
    </row>
    <row r="18" spans="1:7" ht="75.75" thickBot="1" x14ac:dyDescent="0.3">
      <c r="A18" s="5" t="s">
        <v>71</v>
      </c>
      <c r="B18" s="5" t="s">
        <v>95</v>
      </c>
      <c r="C18" s="7"/>
      <c r="D18" s="6">
        <v>44444</v>
      </c>
      <c r="E18" s="7"/>
      <c r="F18" s="7"/>
      <c r="G18" s="7"/>
    </row>
    <row r="19" spans="1:7" ht="75.75" thickBot="1" x14ac:dyDescent="0.3">
      <c r="A19" s="5" t="s">
        <v>96</v>
      </c>
      <c r="B19" s="5" t="s">
        <v>97</v>
      </c>
      <c r="C19" s="7"/>
      <c r="D19" s="6">
        <v>44444</v>
      </c>
      <c r="E19" s="7"/>
      <c r="F19" s="7"/>
      <c r="G19" s="7"/>
    </row>
    <row r="20" spans="1:7" ht="75.75" thickBot="1" x14ac:dyDescent="0.3">
      <c r="A20" s="5" t="s">
        <v>73</v>
      </c>
      <c r="B20" s="5" t="s">
        <v>98</v>
      </c>
      <c r="C20" s="7"/>
      <c r="D20" s="6">
        <v>44444</v>
      </c>
      <c r="E20" s="7"/>
      <c r="F20" s="7"/>
      <c r="G20" s="7"/>
    </row>
    <row r="21" spans="1:7" ht="75.75" thickBot="1" x14ac:dyDescent="0.3">
      <c r="A21" s="5" t="s">
        <v>75</v>
      </c>
      <c r="B21" s="5" t="s">
        <v>99</v>
      </c>
      <c r="C21" s="7"/>
      <c r="D21" s="6">
        <v>44444</v>
      </c>
      <c r="E21" s="7"/>
      <c r="F21" s="7"/>
      <c r="G21" s="7"/>
    </row>
    <row r="22" spans="1:7" ht="75.75" thickBot="1" x14ac:dyDescent="0.3">
      <c r="A22" s="5" t="s">
        <v>77</v>
      </c>
      <c r="B22" s="5" t="s">
        <v>100</v>
      </c>
      <c r="C22" s="7"/>
      <c r="D22" s="6">
        <v>44444</v>
      </c>
      <c r="E22" s="7"/>
      <c r="F22" s="7"/>
      <c r="G22" s="7"/>
    </row>
    <row r="23" spans="1:7" ht="75.75" thickBot="1" x14ac:dyDescent="0.3">
      <c r="A23" s="5" t="s">
        <v>79</v>
      </c>
      <c r="B23" s="5" t="s">
        <v>101</v>
      </c>
      <c r="C23" s="7"/>
      <c r="D23" s="6">
        <v>44444</v>
      </c>
      <c r="E23" s="7"/>
      <c r="F23" s="7"/>
      <c r="G23" s="7"/>
    </row>
    <row r="24" spans="1:7" ht="75.75" thickBot="1" x14ac:dyDescent="0.3">
      <c r="A24" s="5" t="s">
        <v>81</v>
      </c>
      <c r="B24" s="5" t="s">
        <v>102</v>
      </c>
      <c r="C24" s="7"/>
      <c r="D24" s="6">
        <v>44444</v>
      </c>
      <c r="E24" s="7"/>
      <c r="F24" s="7"/>
      <c r="G24" s="7"/>
    </row>
    <row r="25" spans="1:7" ht="75.75" thickBot="1" x14ac:dyDescent="0.3">
      <c r="A25" s="5" t="s">
        <v>83</v>
      </c>
      <c r="B25" s="5" t="s">
        <v>103</v>
      </c>
      <c r="C25" s="7"/>
      <c r="D25" s="6">
        <v>44444</v>
      </c>
      <c r="E25" s="7"/>
      <c r="F25" s="7"/>
      <c r="G25" s="7"/>
    </row>
    <row r="26" spans="1:7" ht="75.75" thickBot="1" x14ac:dyDescent="0.3">
      <c r="A26" s="5" t="s">
        <v>85</v>
      </c>
      <c r="B26" s="5" t="s">
        <v>104</v>
      </c>
      <c r="C26" s="7"/>
      <c r="D26" s="6">
        <v>44444</v>
      </c>
      <c r="E26" s="7"/>
      <c r="F26" s="7"/>
      <c r="G26" s="7"/>
    </row>
    <row r="27" spans="1:7" ht="105.75" thickBot="1" x14ac:dyDescent="0.3">
      <c r="A27" s="5" t="s">
        <v>87</v>
      </c>
      <c r="B27" s="5" t="s">
        <v>105</v>
      </c>
      <c r="C27" s="7"/>
      <c r="D27" s="6">
        <v>44444</v>
      </c>
      <c r="E27" s="7"/>
      <c r="F27" s="7"/>
      <c r="G27" s="7"/>
    </row>
    <row r="28" spans="1:7" ht="105.75" thickBot="1" x14ac:dyDescent="0.3">
      <c r="A28" s="5" t="s">
        <v>89</v>
      </c>
      <c r="B28" s="5" t="s">
        <v>106</v>
      </c>
      <c r="C28" s="7"/>
      <c r="D28" s="6">
        <v>44444</v>
      </c>
      <c r="E28" s="7"/>
      <c r="F28" s="7"/>
      <c r="G28" s="7"/>
    </row>
    <row r="29" spans="1:7" ht="105.75" thickBot="1" x14ac:dyDescent="0.3">
      <c r="A29" s="5" t="s">
        <v>91</v>
      </c>
      <c r="B29" s="5" t="s">
        <v>107</v>
      </c>
      <c r="C29" s="7"/>
      <c r="D29" s="6">
        <v>44444</v>
      </c>
      <c r="E29" s="7"/>
      <c r="F29" s="7"/>
      <c r="G29" s="7"/>
    </row>
  </sheetData>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1666-3A6A-4E7C-9980-43BA38B06326}">
  <dimension ref="A1:D65"/>
  <sheetViews>
    <sheetView workbookViewId="0">
      <selection sqref="A1:G29"/>
    </sheetView>
  </sheetViews>
  <sheetFormatPr defaultColWidth="175" defaultRowHeight="15" x14ac:dyDescent="0.25"/>
  <cols>
    <col min="1" max="1" width="5.85546875" bestFit="1" customWidth="1"/>
    <col min="2" max="2" width="104.85546875" bestFit="1" customWidth="1"/>
    <col min="3" max="3" width="14.42578125" bestFit="1" customWidth="1"/>
    <col min="4" max="4" width="173.85546875" bestFit="1" customWidth="1"/>
  </cols>
  <sheetData>
    <row r="1" spans="1:4" ht="15.75" thickBot="1" x14ac:dyDescent="0.3">
      <c r="A1" s="8" t="s">
        <v>108</v>
      </c>
      <c r="B1" s="8" t="s">
        <v>109</v>
      </c>
      <c r="C1" s="8" t="s">
        <v>110</v>
      </c>
      <c r="D1" s="9" t="s">
        <v>4</v>
      </c>
    </row>
    <row r="2" spans="1:4" ht="15.75" thickBot="1" x14ac:dyDescent="0.3">
      <c r="A2" s="43" t="s">
        <v>111</v>
      </c>
      <c r="B2" s="44"/>
      <c r="C2" s="44"/>
      <c r="D2" s="45"/>
    </row>
    <row r="3" spans="1:4" ht="30" x14ac:dyDescent="0.25">
      <c r="A3" s="46">
        <v>0</v>
      </c>
      <c r="B3" s="46" t="s">
        <v>112</v>
      </c>
      <c r="C3" s="48" t="s">
        <v>113</v>
      </c>
      <c r="D3" s="11" t="s">
        <v>114</v>
      </c>
    </row>
    <row r="4" spans="1:4" ht="15.75" thickBot="1" x14ac:dyDescent="0.3">
      <c r="A4" s="47"/>
      <c r="B4" s="47"/>
      <c r="C4" s="49"/>
      <c r="D4" s="12" t="s">
        <v>115</v>
      </c>
    </row>
    <row r="5" spans="1:4" ht="15.75" thickBot="1" x14ac:dyDescent="0.3">
      <c r="A5" s="36" t="s">
        <v>116</v>
      </c>
      <c r="B5" s="37"/>
      <c r="C5" s="37"/>
      <c r="D5" s="38"/>
    </row>
    <row r="6" spans="1:4" ht="16.5" thickBot="1" x14ac:dyDescent="0.3">
      <c r="A6" s="13">
        <v>1</v>
      </c>
      <c r="B6" s="13" t="s">
        <v>5</v>
      </c>
      <c r="C6" s="14" t="s">
        <v>117</v>
      </c>
      <c r="D6" s="15" t="s">
        <v>118</v>
      </c>
    </row>
    <row r="7" spans="1:4" ht="15.75" thickBot="1" x14ac:dyDescent="0.3">
      <c r="A7" s="36" t="s">
        <v>119</v>
      </c>
      <c r="B7" s="37"/>
      <c r="C7" s="37"/>
      <c r="D7" s="38"/>
    </row>
    <row r="8" spans="1:4" ht="16.5" thickBot="1" x14ac:dyDescent="0.3">
      <c r="A8" s="13">
        <v>2.1</v>
      </c>
      <c r="B8" s="13" t="s">
        <v>120</v>
      </c>
      <c r="C8" s="16" t="s">
        <v>117</v>
      </c>
      <c r="D8" s="15" t="s">
        <v>121</v>
      </c>
    </row>
    <row r="9" spans="1:4" ht="16.5" thickBot="1" x14ac:dyDescent="0.3">
      <c r="A9" s="13">
        <v>2.2000000000000002</v>
      </c>
      <c r="B9" s="13" t="s">
        <v>122</v>
      </c>
      <c r="C9" s="16" t="s">
        <v>117</v>
      </c>
      <c r="D9" s="15" t="s">
        <v>123</v>
      </c>
    </row>
    <row r="10" spans="1:4" ht="16.5" thickBot="1" x14ac:dyDescent="0.3">
      <c r="A10" s="13">
        <v>2.2999999999999998</v>
      </c>
      <c r="B10" s="13" t="s">
        <v>124</v>
      </c>
      <c r="C10" s="16" t="s">
        <v>117</v>
      </c>
      <c r="D10" s="15" t="s">
        <v>125</v>
      </c>
    </row>
    <row r="11" spans="1:4" ht="16.5" thickBot="1" x14ac:dyDescent="0.3">
      <c r="A11" s="13">
        <v>2.4</v>
      </c>
      <c r="B11" s="13" t="s">
        <v>12</v>
      </c>
      <c r="C11" s="16" t="s">
        <v>117</v>
      </c>
      <c r="D11" s="15" t="s">
        <v>126</v>
      </c>
    </row>
    <row r="12" spans="1:4" ht="16.5" thickBot="1" x14ac:dyDescent="0.3">
      <c r="A12" s="13">
        <v>2.5</v>
      </c>
      <c r="B12" s="13" t="s">
        <v>127</v>
      </c>
      <c r="C12" s="16" t="s">
        <v>117</v>
      </c>
      <c r="D12" s="15" t="s">
        <v>128</v>
      </c>
    </row>
    <row r="13" spans="1:4" ht="16.5" thickBot="1" x14ac:dyDescent="0.3">
      <c r="A13" s="13">
        <v>2.6</v>
      </c>
      <c r="B13" s="13" t="s">
        <v>129</v>
      </c>
      <c r="C13" s="16" t="s">
        <v>117</v>
      </c>
      <c r="D13" s="15" t="s">
        <v>130</v>
      </c>
    </row>
    <row r="14" spans="1:4" ht="16.5" thickBot="1" x14ac:dyDescent="0.3">
      <c r="A14" s="13">
        <v>2.7</v>
      </c>
      <c r="B14" s="13" t="s">
        <v>15</v>
      </c>
      <c r="C14" s="16" t="s">
        <v>117</v>
      </c>
      <c r="D14" s="15" t="s">
        <v>131</v>
      </c>
    </row>
    <row r="15" spans="1:4" ht="16.5" thickBot="1" x14ac:dyDescent="0.3">
      <c r="A15" s="13">
        <v>2.8</v>
      </c>
      <c r="B15" s="13" t="s">
        <v>16</v>
      </c>
      <c r="C15" s="16" t="s">
        <v>117</v>
      </c>
      <c r="D15" s="15" t="s">
        <v>132</v>
      </c>
    </row>
    <row r="16" spans="1:4" ht="16.5" thickBot="1" x14ac:dyDescent="0.3">
      <c r="A16" s="13">
        <v>2.9</v>
      </c>
      <c r="B16" s="13" t="s">
        <v>17</v>
      </c>
      <c r="C16" s="16" t="s">
        <v>117</v>
      </c>
      <c r="D16" s="15" t="s">
        <v>133</v>
      </c>
    </row>
    <row r="17" spans="1:4" ht="16.5" thickBot="1" x14ac:dyDescent="0.3">
      <c r="A17" s="13">
        <v>2.1</v>
      </c>
      <c r="B17" s="13" t="s">
        <v>134</v>
      </c>
      <c r="C17" s="16" t="s">
        <v>113</v>
      </c>
      <c r="D17" s="15" t="s">
        <v>135</v>
      </c>
    </row>
    <row r="18" spans="1:4" ht="15.75" thickBot="1" x14ac:dyDescent="0.3">
      <c r="A18" s="36" t="s">
        <v>136</v>
      </c>
      <c r="B18" s="37"/>
      <c r="C18" s="37"/>
      <c r="D18" s="38"/>
    </row>
    <row r="19" spans="1:4" ht="16.5" thickBot="1" x14ac:dyDescent="0.3">
      <c r="A19" s="13">
        <v>3.1</v>
      </c>
      <c r="B19" s="13" t="s">
        <v>19</v>
      </c>
      <c r="C19" s="16" t="s">
        <v>113</v>
      </c>
      <c r="D19" s="17" t="s">
        <v>137</v>
      </c>
    </row>
    <row r="20" spans="1:4" ht="16.5" thickBot="1" x14ac:dyDescent="0.3">
      <c r="A20" s="13">
        <v>3.2</v>
      </c>
      <c r="B20" s="13" t="s">
        <v>20</v>
      </c>
      <c r="C20" s="16" t="s">
        <v>113</v>
      </c>
      <c r="D20" s="17" t="s">
        <v>138</v>
      </c>
    </row>
    <row r="21" spans="1:4" ht="16.5" thickBot="1" x14ac:dyDescent="0.3">
      <c r="A21" s="18"/>
      <c r="B21" s="13" t="s">
        <v>139</v>
      </c>
      <c r="C21" s="16" t="s">
        <v>140</v>
      </c>
      <c r="D21" s="19" t="s">
        <v>141</v>
      </c>
    </row>
    <row r="22" spans="1:4" ht="16.5" thickBot="1" x14ac:dyDescent="0.3">
      <c r="A22" s="18"/>
      <c r="B22" s="13" t="s">
        <v>142</v>
      </c>
      <c r="C22" s="16" t="s">
        <v>140</v>
      </c>
      <c r="D22" s="19" t="s">
        <v>143</v>
      </c>
    </row>
    <row r="23" spans="1:4" ht="45.75" thickBot="1" x14ac:dyDescent="0.3">
      <c r="A23" s="18"/>
      <c r="B23" s="13" t="s">
        <v>144</v>
      </c>
      <c r="C23" s="16" t="s">
        <v>140</v>
      </c>
      <c r="D23" s="19" t="s">
        <v>145</v>
      </c>
    </row>
    <row r="24" spans="1:4" ht="15.75" thickBot="1" x14ac:dyDescent="0.3">
      <c r="A24" s="18"/>
      <c r="B24" s="18"/>
      <c r="C24" s="16" t="s">
        <v>140</v>
      </c>
      <c r="D24" s="19" t="s">
        <v>146</v>
      </c>
    </row>
    <row r="25" spans="1:4" ht="15.75" thickBot="1" x14ac:dyDescent="0.3">
      <c r="A25" s="18"/>
      <c r="B25" s="18"/>
      <c r="C25" s="16" t="s">
        <v>140</v>
      </c>
      <c r="D25" s="19" t="s">
        <v>147</v>
      </c>
    </row>
    <row r="26" spans="1:4" ht="15.75" thickBot="1" x14ac:dyDescent="0.3">
      <c r="A26" s="18"/>
      <c r="B26" s="18"/>
      <c r="C26" s="16" t="s">
        <v>148</v>
      </c>
      <c r="D26" s="19" t="s">
        <v>149</v>
      </c>
    </row>
    <row r="27" spans="1:4" ht="15.75" thickBot="1" x14ac:dyDescent="0.3">
      <c r="A27" s="18"/>
      <c r="B27" s="18"/>
      <c r="C27" s="16" t="s">
        <v>148</v>
      </c>
      <c r="D27" s="19" t="s">
        <v>150</v>
      </c>
    </row>
    <row r="28" spans="1:4" ht="15.75" thickBot="1" x14ac:dyDescent="0.3">
      <c r="A28" s="18"/>
      <c r="B28" s="18"/>
      <c r="C28" s="16" t="s">
        <v>148</v>
      </c>
      <c r="D28" s="19" t="s">
        <v>151</v>
      </c>
    </row>
    <row r="29" spans="1:4" ht="15.75" thickBot="1" x14ac:dyDescent="0.3">
      <c r="A29" s="18"/>
      <c r="B29" s="18"/>
      <c r="C29" s="16" t="s">
        <v>140</v>
      </c>
      <c r="D29" s="19" t="s">
        <v>152</v>
      </c>
    </row>
    <row r="30" spans="1:4" ht="15.75" thickBot="1" x14ac:dyDescent="0.3">
      <c r="A30" s="36" t="s">
        <v>153</v>
      </c>
      <c r="B30" s="37"/>
      <c r="C30" s="37"/>
      <c r="D30" s="38"/>
    </row>
    <row r="31" spans="1:4" ht="16.5" thickBot="1" x14ac:dyDescent="0.3">
      <c r="A31" s="18"/>
      <c r="B31" s="13" t="s">
        <v>154</v>
      </c>
      <c r="C31" s="16" t="s">
        <v>117</v>
      </c>
      <c r="D31" s="19" t="s">
        <v>155</v>
      </c>
    </row>
    <row r="32" spans="1:4" ht="60.75" thickBot="1" x14ac:dyDescent="0.3">
      <c r="A32" s="18"/>
      <c r="B32" s="13" t="s">
        <v>156</v>
      </c>
      <c r="C32" s="16" t="s">
        <v>140</v>
      </c>
      <c r="D32" s="19" t="s">
        <v>157</v>
      </c>
    </row>
    <row r="33" spans="1:4" ht="15.75" thickBot="1" x14ac:dyDescent="0.3">
      <c r="A33" s="36" t="s">
        <v>158</v>
      </c>
      <c r="B33" s="37"/>
      <c r="C33" s="37"/>
      <c r="D33" s="38"/>
    </row>
    <row r="34" spans="1:4" ht="15.75" thickBot="1" x14ac:dyDescent="0.3">
      <c r="A34" s="18"/>
      <c r="B34" s="18"/>
      <c r="C34" s="16" t="s">
        <v>140</v>
      </c>
      <c r="D34" s="19" t="s">
        <v>159</v>
      </c>
    </row>
    <row r="35" spans="1:4" ht="15.75" thickBot="1" x14ac:dyDescent="0.3">
      <c r="A35" s="18"/>
      <c r="B35" s="18"/>
      <c r="C35" s="16" t="s">
        <v>140</v>
      </c>
      <c r="D35" s="19" t="s">
        <v>160</v>
      </c>
    </row>
    <row r="36" spans="1:4" ht="15.75" thickBot="1" x14ac:dyDescent="0.3">
      <c r="A36" s="18"/>
      <c r="B36" s="18"/>
      <c r="C36" s="16" t="s">
        <v>140</v>
      </c>
      <c r="D36" s="19" t="s">
        <v>161</v>
      </c>
    </row>
    <row r="37" spans="1:4" ht="15.75" thickBot="1" x14ac:dyDescent="0.3">
      <c r="A37" s="18"/>
      <c r="B37" s="18"/>
      <c r="C37" s="16" t="s">
        <v>140</v>
      </c>
      <c r="D37" s="19" t="s">
        <v>162</v>
      </c>
    </row>
    <row r="38" spans="1:4" ht="15.75" thickBot="1" x14ac:dyDescent="0.3">
      <c r="A38" s="18"/>
      <c r="B38" s="18"/>
      <c r="C38" s="16" t="s">
        <v>140</v>
      </c>
      <c r="D38" s="19" t="s">
        <v>163</v>
      </c>
    </row>
    <row r="39" spans="1:4" ht="15.75" thickBot="1" x14ac:dyDescent="0.3">
      <c r="A39" s="18"/>
      <c r="B39" s="18"/>
      <c r="C39" s="16" t="s">
        <v>140</v>
      </c>
      <c r="D39" s="19" t="s">
        <v>164</v>
      </c>
    </row>
    <row r="40" spans="1:4" ht="15.75" thickBot="1" x14ac:dyDescent="0.3">
      <c r="A40" s="18"/>
      <c r="B40" s="18"/>
      <c r="C40" s="16" t="s">
        <v>140</v>
      </c>
      <c r="D40" s="19" t="s">
        <v>165</v>
      </c>
    </row>
    <row r="41" spans="1:4" ht="15.75" thickBot="1" x14ac:dyDescent="0.3">
      <c r="A41" s="18"/>
      <c r="B41" s="18"/>
      <c r="C41" s="16" t="s">
        <v>140</v>
      </c>
      <c r="D41" s="19" t="s">
        <v>166</v>
      </c>
    </row>
    <row r="42" spans="1:4" ht="15.75" thickBot="1" x14ac:dyDescent="0.3">
      <c r="A42" s="18"/>
      <c r="B42" s="18"/>
      <c r="C42" s="16" t="s">
        <v>140</v>
      </c>
      <c r="D42" s="19" t="s">
        <v>167</v>
      </c>
    </row>
    <row r="43" spans="1:4" ht="15.75" thickBot="1" x14ac:dyDescent="0.3">
      <c r="A43" s="36" t="s">
        <v>168</v>
      </c>
      <c r="B43" s="37"/>
      <c r="C43" s="37"/>
      <c r="D43" s="38"/>
    </row>
    <row r="44" spans="1:4" ht="15.75" thickBot="1" x14ac:dyDescent="0.3">
      <c r="A44" s="18"/>
      <c r="B44" s="18"/>
      <c r="C44" s="16" t="s">
        <v>140</v>
      </c>
      <c r="D44" s="19" t="s">
        <v>169</v>
      </c>
    </row>
    <row r="45" spans="1:4" ht="15.75" thickBot="1" x14ac:dyDescent="0.3">
      <c r="A45" s="18"/>
      <c r="B45" s="18"/>
      <c r="C45" s="16" t="s">
        <v>140</v>
      </c>
      <c r="D45" s="19" t="s">
        <v>170</v>
      </c>
    </row>
    <row r="46" spans="1:4" ht="30.75" thickBot="1" x14ac:dyDescent="0.3">
      <c r="A46" s="18"/>
      <c r="B46" s="18"/>
      <c r="C46" s="16" t="s">
        <v>140</v>
      </c>
      <c r="D46" s="19" t="s">
        <v>171</v>
      </c>
    </row>
    <row r="47" spans="1:4" ht="15.75" thickBot="1" x14ac:dyDescent="0.3">
      <c r="A47" s="18"/>
      <c r="B47" s="18"/>
      <c r="C47" s="16" t="s">
        <v>140</v>
      </c>
      <c r="D47" s="19" t="s">
        <v>172</v>
      </c>
    </row>
    <row r="48" spans="1:4" ht="30.75" thickBot="1" x14ac:dyDescent="0.3">
      <c r="A48" s="18"/>
      <c r="B48" s="18"/>
      <c r="C48" s="16" t="s">
        <v>140</v>
      </c>
      <c r="D48" s="19" t="s">
        <v>173</v>
      </c>
    </row>
    <row r="49" spans="1:4" ht="15.75" thickBot="1" x14ac:dyDescent="0.3">
      <c r="A49" s="18"/>
      <c r="B49" s="18"/>
      <c r="C49" s="16" t="s">
        <v>140</v>
      </c>
      <c r="D49" s="19" t="s">
        <v>174</v>
      </c>
    </row>
    <row r="50" spans="1:4" ht="15.75" thickBot="1" x14ac:dyDescent="0.3">
      <c r="A50" s="18"/>
      <c r="B50" s="18"/>
      <c r="C50" s="16" t="s">
        <v>140</v>
      </c>
      <c r="D50" s="19" t="s">
        <v>175</v>
      </c>
    </row>
    <row r="51" spans="1:4" ht="15.75" thickBot="1" x14ac:dyDescent="0.3">
      <c r="A51" s="18"/>
      <c r="B51" s="18"/>
      <c r="C51" s="16" t="s">
        <v>140</v>
      </c>
      <c r="D51" s="19" t="s">
        <v>176</v>
      </c>
    </row>
    <row r="52" spans="1:4" ht="15.75" thickBot="1" x14ac:dyDescent="0.3">
      <c r="A52" s="36" t="s">
        <v>177</v>
      </c>
      <c r="B52" s="37"/>
      <c r="C52" s="37"/>
      <c r="D52" s="38"/>
    </row>
    <row r="53" spans="1:4" ht="15.75" thickBot="1" x14ac:dyDescent="0.3">
      <c r="A53" s="18"/>
      <c r="B53" s="18"/>
      <c r="C53" s="16" t="s">
        <v>140</v>
      </c>
      <c r="D53" s="19" t="s">
        <v>178</v>
      </c>
    </row>
    <row r="54" spans="1:4" ht="15.75" thickBot="1" x14ac:dyDescent="0.3">
      <c r="A54" s="36" t="s">
        <v>179</v>
      </c>
      <c r="B54" s="37"/>
      <c r="C54" s="37"/>
      <c r="D54" s="38"/>
    </row>
    <row r="55" spans="1:4" x14ac:dyDescent="0.25">
      <c r="A55" s="39"/>
      <c r="B55" s="39"/>
      <c r="C55" s="41" t="s">
        <v>140</v>
      </c>
      <c r="D55" s="20" t="s">
        <v>180</v>
      </c>
    </row>
    <row r="56" spans="1:4" ht="15.75" thickBot="1" x14ac:dyDescent="0.3">
      <c r="A56" s="40"/>
      <c r="B56" s="40"/>
      <c r="C56" s="42"/>
      <c r="D56" s="21" t="s">
        <v>181</v>
      </c>
    </row>
    <row r="57" spans="1:4" ht="15.75" thickBot="1" x14ac:dyDescent="0.3">
      <c r="A57" s="36" t="s">
        <v>182</v>
      </c>
      <c r="B57" s="37"/>
      <c r="C57" s="37"/>
      <c r="D57" s="38"/>
    </row>
    <row r="58" spans="1:4" x14ac:dyDescent="0.25">
      <c r="A58" s="39"/>
      <c r="B58" s="39"/>
      <c r="C58" s="41" t="s">
        <v>140</v>
      </c>
      <c r="D58" s="20" t="s">
        <v>180</v>
      </c>
    </row>
    <row r="59" spans="1:4" ht="15.75" thickBot="1" x14ac:dyDescent="0.3">
      <c r="A59" s="40"/>
      <c r="B59" s="40"/>
      <c r="C59" s="42"/>
      <c r="D59" s="21" t="s">
        <v>183</v>
      </c>
    </row>
    <row r="60" spans="1:4" ht="15.75" thickBot="1" x14ac:dyDescent="0.3">
      <c r="A60" s="36" t="s">
        <v>184</v>
      </c>
      <c r="B60" s="37"/>
      <c r="C60" s="37"/>
      <c r="D60" s="38"/>
    </row>
    <row r="61" spans="1:4" ht="15.75" thickBot="1" x14ac:dyDescent="0.3">
      <c r="A61" s="18"/>
      <c r="B61" s="18"/>
      <c r="C61" s="16" t="s">
        <v>140</v>
      </c>
      <c r="D61" s="19" t="s">
        <v>185</v>
      </c>
    </row>
    <row r="62" spans="1:4" ht="15.75" thickBot="1" x14ac:dyDescent="0.3">
      <c r="A62" s="36" t="s">
        <v>186</v>
      </c>
      <c r="B62" s="37"/>
      <c r="C62" s="37"/>
      <c r="D62" s="38"/>
    </row>
    <row r="63" spans="1:4" ht="15.75" thickBot="1" x14ac:dyDescent="0.3">
      <c r="A63" s="18"/>
      <c r="B63" s="18"/>
      <c r="C63" s="16" t="s">
        <v>140</v>
      </c>
      <c r="D63" s="22"/>
    </row>
    <row r="64" spans="1:4" ht="15.75" thickBot="1" x14ac:dyDescent="0.3">
      <c r="A64" s="36" t="s">
        <v>187</v>
      </c>
      <c r="B64" s="37"/>
      <c r="C64" s="37"/>
      <c r="D64" s="38"/>
    </row>
    <row r="65" spans="1:4" ht="15.75" thickBot="1" x14ac:dyDescent="0.3">
      <c r="A65" s="18"/>
      <c r="B65" s="18"/>
      <c r="C65" s="16" t="s">
        <v>140</v>
      </c>
      <c r="D65" s="22"/>
    </row>
  </sheetData>
  <mergeCells count="22">
    <mergeCell ref="A54:D54"/>
    <mergeCell ref="A2:D2"/>
    <mergeCell ref="A3:A4"/>
    <mergeCell ref="B3:B4"/>
    <mergeCell ref="C3:C4"/>
    <mergeCell ref="A5:D5"/>
    <mergeCell ref="A7:D7"/>
    <mergeCell ref="A18:D18"/>
    <mergeCell ref="A30:D30"/>
    <mergeCell ref="A33:D33"/>
    <mergeCell ref="A43:D43"/>
    <mergeCell ref="A52:D52"/>
    <mergeCell ref="A60:D60"/>
    <mergeCell ref="A62:D62"/>
    <mergeCell ref="A64:D64"/>
    <mergeCell ref="A55:A56"/>
    <mergeCell ref="B55:B56"/>
    <mergeCell ref="C55:C56"/>
    <mergeCell ref="A57:D57"/>
    <mergeCell ref="A58:A59"/>
    <mergeCell ref="B58:B59"/>
    <mergeCell ref="C58:C59"/>
  </mergeCells>
  <hyperlinks>
    <hyperlink ref="D3" r:id="rId1" display="https://golfshot.com/" xr:uid="{4C13D2C7-4A85-4BDB-9F97-5B4798CE0549}"/>
    <hyperlink ref="D4" r:id="rId2" display="https://golfcourseapi.com/" xr:uid="{755A406B-A697-44DC-ACA7-4285FD4D6AF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WBS</vt:lpstr>
      <vt:lpstr>Status</vt:lpstr>
      <vt:lpstr>Org</vt:lpstr>
      <vt:lpstr>Denormalization Decision</vt:lpstr>
      <vt:lpstr>Clubs</vt:lpstr>
      <vt:lpstr>OLD WBS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Mike Phillips</cp:lastModifiedBy>
  <dcterms:created xsi:type="dcterms:W3CDTF">2025-11-06T14:00:45Z</dcterms:created>
  <dcterms:modified xsi:type="dcterms:W3CDTF">2025-11-17T12:41:18Z</dcterms:modified>
</cp:coreProperties>
</file>